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CT" sheetId="1" r:id="rId5"/>
    <sheet state="visible" name="naturezas" sheetId="2" r:id="rId6"/>
    <sheet state="visible" name="ES" sheetId="3" r:id="rId7"/>
    <sheet state="visible" name="EGE" sheetId="4" r:id="rId8"/>
    <sheet state="visible" name="LG" sheetId="5" r:id="rId9"/>
    <sheet state="visible" name="GPDR" sheetId="6" r:id="rId10"/>
  </sheets>
  <definedNames>
    <definedName hidden="1" localSheetId="0" name="_xlnm._FilterDatabase">BICT!$A$1:$J$101</definedName>
    <definedName hidden="1" localSheetId="2" name="_xlnm._FilterDatabase">ES!$A$1:$Y$123</definedName>
    <definedName hidden="1" localSheetId="3" name="_xlnm._FilterDatabase">EGE!$A$1:$K$97</definedName>
    <definedName hidden="1" localSheetId="4" name="_xlnm._FilterDatabase">LG!$A$1:$K$155</definedName>
    <definedName hidden="1" localSheetId="5" name="_xlnm._FilterDatabase">GPDR!$A$1:$Z$950</definedName>
  </definedNames>
  <calcPr/>
</workbook>
</file>

<file path=xl/sharedStrings.xml><?xml version="1.0" encoding="utf-8"?>
<sst xmlns="http://schemas.openxmlformats.org/spreadsheetml/2006/main" count="2723" uniqueCount="769">
  <si>
    <t>Código</t>
  </si>
  <si>
    <t>Atividade de Ensino/Pré-Requisito</t>
  </si>
  <si>
    <t>Caráter</t>
  </si>
  <si>
    <t>Créditos</t>
  </si>
  <si>
    <t>Carga Horária</t>
  </si>
  <si>
    <t>Carga Horária Extensão (CHE)</t>
  </si>
  <si>
    <t>Natureza</t>
  </si>
  <si>
    <t>Etapa</t>
  </si>
  <si>
    <t>n de pré requisitos</t>
  </si>
  <si>
    <t>Disciplina</t>
  </si>
  <si>
    <t>Pré-requisitos</t>
  </si>
  <si>
    <t>Atividade de Ensino</t>
  </si>
  <si>
    <t>DINÂMICAS E CONCEITOS DO ESPAÇO - TEMPORAL E SOCIAL (DIL01107)</t>
  </si>
  <si>
    <t>HUM</t>
  </si>
  <si>
    <t>DIL01503</t>
  </si>
  <si>
    <t>INTRODUÇÃO À DINÂMICA E AOS PROCESSOS DA NATUREZA - A (DIL01353)</t>
  </si>
  <si>
    <t>INT</t>
  </si>
  <si>
    <t>DIL01093</t>
  </si>
  <si>
    <t>INTRODUÇÃO À TECNOLOGIA DA INFORMAÇÃO E COMUNICAÇÃO (DIL01191)</t>
  </si>
  <si>
    <t>TEC</t>
  </si>
  <si>
    <t>LEITURA E PRODUÇÃO TEXTUAL - A (DIL01193)</t>
  </si>
  <si>
    <t>METODOLOGIA DA CIÊNCIA (DIL01108)</t>
  </si>
  <si>
    <t>x</t>
  </si>
  <si>
    <t>DIL01502</t>
  </si>
  <si>
    <t>MODELOS MATEMÁTICOS ELEMENTARES (DIL01101)</t>
  </si>
  <si>
    <t>CFU</t>
  </si>
  <si>
    <t>SEMINÁRIOS INTERDISCIPLINARES (DIL01194)</t>
  </si>
  <si>
    <t>ADMINISTRAÇÃO (DIL01158)</t>
  </si>
  <si>
    <t>CÁLCULO DIFERENCIAL E INTEGRAL I (DIL01113)</t>
  </si>
  <si>
    <t>ESTATÍSTICA I (DIL01112)</t>
  </si>
  <si>
    <t>FÍSICA PARA ENGENHARIA I (DIL01114)</t>
  </si>
  <si>
    <t>DINÂMICAS E CONCEITOS DO ESPAÇO TEMPORAL E SOCIAL - A</t>
  </si>
  <si>
    <t>FUNDAMENTOS DE ECOLOGIA - CBM (DIL01312)</t>
  </si>
  <si>
    <t>DIL01107</t>
  </si>
  <si>
    <t>Obrigatória</t>
  </si>
  <si>
    <t>FUNDAMENTOS DE FÍSICA (DIL01117)</t>
  </si>
  <si>
    <t>DINÂMICAS E CONCEITOS DO ESPAÇO - TEMPORAL E SOCIAL</t>
  </si>
  <si>
    <t>FUNDAMENTOS DE GESTÃO DE RECURSOS ENERGÉTICOS (DIL01104)</t>
  </si>
  <si>
    <t>GEOLOGIA E RECURSOS MINERAIS PARA ENGENHARIA (DIL01356)</t>
  </si>
  <si>
    <t>Etapa 1</t>
  </si>
  <si>
    <t>GEOLOGIA GERAL - A (DIL01355)</t>
  </si>
  <si>
    <t>HISTÓRIA E FUNDAMENTOS DA GEOGRAFIA - A (DIL01354)</t>
  </si>
  <si>
    <t>INTRODUÇÃO À ÁLGEBRA LINEAR (DIL01111)</t>
  </si>
  <si>
    <t>INTRODUÇÃO À PSICOLOGIA DO DESENVOLVIMENTO E DA APRENDIZAGEM (DIL01192)</t>
  </si>
  <si>
    <t>INTRODUÇÃO AO PENSAMENTO SOCIAL (DIL01118)</t>
  </si>
  <si>
    <t>LABORATÓRIO DE DOCÊNCIA I: A PROFISSÃO DOCENTE (DIL01067)</t>
  </si>
  <si>
    <t>LABORATÓRIO DE FÍSICA PARA ENGENHARIA I (DIL01115)</t>
  </si>
  <si>
    <t>PRINCÍPIOS DE CARTOGRAFIA E AEROFOTOGEOGRAFIA (DIL01119)</t>
  </si>
  <si>
    <t>TEORIAS DO DESENVOLVIMENTO (DIL01120)</t>
  </si>
  <si>
    <t>TRANSFORMAÇÕES SOCIOCULTURAIS E DESENVOLVIMENTO REGIONAL (DIL01121)</t>
  </si>
  <si>
    <t>CÁLCULO DIFERENCIAL E INTEGRAL II (DIL01122)</t>
  </si>
  <si>
    <t>CARTOGRAFIA TEMÁTICA E DIGITAL - A (DIL01357)</t>
  </si>
  <si>
    <t>DEMOGRAFIA (DIL01134)</t>
  </si>
  <si>
    <t>DESENVOLVIMENTO REGIONAL (DIL01130)</t>
  </si>
  <si>
    <t>EXPRESSÃO GRÁFICA (DIL01127)</t>
  </si>
  <si>
    <t>FÍSICA PARA ENGENHARIA II (DIL01123)</t>
  </si>
  <si>
    <t>FUNDAMENTOS DE METEOROLOGIA E CLIMATOLOGIA A (DIL01141)</t>
  </si>
  <si>
    <t>FUNDAMENTOS DE QUÍMICA (DIL01109)</t>
  </si>
  <si>
    <t>FUNDAMENTOS E ORGANIZAÇÃO DE EMPRESAS DE SERVIÇOS (DIL01089)</t>
  </si>
  <si>
    <t>GEOGRAFIA ECONÔMICA E HUMANA A (DIL01153)</t>
  </si>
  <si>
    <t>GEOMORFOLOGIA E AMBIENTES A (DIL01133)</t>
  </si>
  <si>
    <t>LABORATÓRIO DE DOCÊNCIA II: O AMBIENTE ESCOLAR - A (DIL01358)</t>
  </si>
  <si>
    <t>LABORATÓRIO DE FÍSICA PARA ENGENHARIA II (DIL01124)</t>
  </si>
  <si>
    <t>LABORATÓRIO DE FUNDAMENTOS DE QUÍMICA (DIL01057)</t>
  </si>
  <si>
    <t>POLÍTICAS PÚBLICAS DO DESENVOLVIMENTO REGIONAL (DIL01129)</t>
  </si>
  <si>
    <t>PROJETO INTEGRADOR 1: DIAGNÓSTICO DO SETOR DE SERVIÇO DA REGIÃO (DIL01179)</t>
  </si>
  <si>
    <t>INTRODUÇÃO À DINÂMICA E AOS PROCESSOS DA NATUREZA - B</t>
  </si>
  <si>
    <t>DIL01353</t>
  </si>
  <si>
    <t>INTRODUÇÃO À DINÂMICA E AOS PROCESSOS DA NATUREZA - A</t>
  </si>
  <si>
    <t>QUALIDADE EM SERVIÇOS (DIL01178)</t>
  </si>
  <si>
    <t>CIÊNCIA E TECNOLOGIA DOS MATERIAIS (DIL01159)</t>
  </si>
  <si>
    <t>CIRCUITOS ELÉTRICOS I (DIL01138)</t>
  </si>
  <si>
    <t>DIL01191</t>
  </si>
  <si>
    <t>INTRODUÇÃO À TECNOLOGIA DA INFORMAÇÃO E COMUNICAÇÃO</t>
  </si>
  <si>
    <t>DESENVOLVIMENTO RURAL (DIL01144)</t>
  </si>
  <si>
    <t>ECONOMIA POLÍTICA DO DESENVOLVIMENTO NO BRASIL (DIL01145)</t>
  </si>
  <si>
    <t>EQUAÇÕES DIFERENCIAIS (DIL01135)</t>
  </si>
  <si>
    <t>DIL01193</t>
  </si>
  <si>
    <t>LEITURA E PRODUÇÃO TEXTUAL - A</t>
  </si>
  <si>
    <t>FILOSOFIA E SOCIOLOGIA DA EDUCAÇÃO (DIL01195)</t>
  </si>
  <si>
    <t>FUNDAMENTOS DE ELETRICIDADE E APLICAÇÕES (DIL01359)</t>
  </si>
  <si>
    <t>FUNDAMENTOS DO ELETROMAGNETISMO (DIL01125)</t>
  </si>
  <si>
    <t>DIL01101</t>
  </si>
  <si>
    <t>MODELOS MATEMÁTICOS ELEMENTARES</t>
  </si>
  <si>
    <t>GEOGRAFIA AGRÁRIA - A (DIL01066)</t>
  </si>
  <si>
    <t>DIL01108</t>
  </si>
  <si>
    <t>METODOLOGIA DA CIÊNCIA</t>
  </si>
  <si>
    <t>HIDROGRAFIA E OCEANOGRAFIA A (DIL01142)</t>
  </si>
  <si>
    <t>HISTÓRIA DA EDUCAÇÃO - A (DIL01360)</t>
  </si>
  <si>
    <t xml:space="preserve">
</t>
  </si>
  <si>
    <t>INTRODUÇÃO À TERMODINÂMICA E ENERGIAS RENOVÁVEIS (DIL01196)</t>
  </si>
  <si>
    <t>LABORATÓRIO DE CIRCUITOS ELÉTRICOS I (DIL01139)</t>
  </si>
  <si>
    <t>DIL01194</t>
  </si>
  <si>
    <t>SEMINÁRIOS INTERDISCIPLINARES</t>
  </si>
  <si>
    <t>LABORATÓRIO DE DOCÊNCIA IV: A GESTÃO ESCOLAR (DIL01362)</t>
  </si>
  <si>
    <t>LABORATÓRIO DE FUNDAMENTOS DO ELETROMAGNETISMO (DIL01126)</t>
  </si>
  <si>
    <t>LIDERANÇA E EMPREENDEDORISMO (DIL01140)</t>
  </si>
  <si>
    <t>Eletiva</t>
  </si>
  <si>
    <t>DIL01158</t>
  </si>
  <si>
    <t>ADMINISTRAÇÃO</t>
  </si>
  <si>
    <t>MARKETING E SATISFAÇÃO DO CLIENTE EM SERVIÇOS (DIL01180)</t>
  </si>
  <si>
    <t>Etapa 2</t>
  </si>
  <si>
    <t>MECÂNICA E RESISTÊNCIA DOS MATERIAIS (DIL01137)</t>
  </si>
  <si>
    <t>DIL01113</t>
  </si>
  <si>
    <t>CÁLCULO DIFERENCIAL E INTEGRAL I
 - DIL01101 - MODELOS MATEMÁTICOS ELEMENTARES</t>
  </si>
  <si>
    <t>PROCESSOS DE CONSTRUÇÃO DE IDENTIDADES (DIL01146)</t>
  </si>
  <si>
    <t>SENSORIAMENTO REMOTO - A (DIL01361)</t>
  </si>
  <si>
    <t>ALGORITMOS E PROGRAMAÇÃO (DIL01363)</t>
  </si>
  <si>
    <t>DIL01112</t>
  </si>
  <si>
    <t>ESTATÍSTICA I
 - DIL01101 - MODELOS MATEMÁTICOS ELEMENTARES</t>
  </si>
  <si>
    <t>BIOGEOGRAFIA A (DIL01071)</t>
  </si>
  <si>
    <t>CIÊNCIAS DO AMBIENTE: ENERGIA E MEIO AMBIENTE (DIL01147)</t>
  </si>
  <si>
    <t>DIL01114</t>
  </si>
  <si>
    <t>FÍSICA PARA ENGENHARIA I
 - DIL01101 - MODELOS MATEMÁTICOS ELEMENTARES</t>
  </si>
  <si>
    <t>CIRCUITOS ELÉTRICOS II (DIL01150)</t>
  </si>
  <si>
    <t>DESENVOLVIMENTO E PROTOTIPAGEM DE SERVIÇOS (DIL01184)</t>
  </si>
  <si>
    <t>ECONOMIA E AMBIENTE (DIL01154)</t>
  </si>
  <si>
    <t>DIL01104</t>
  </si>
  <si>
    <t>FUNDAMENTOS DE GESTÃO DE RECURSOS ENERGÉTICOS</t>
  </si>
  <si>
    <t>EDUCAÇÃO E DIVERSIDADE (DIL01068)</t>
  </si>
  <si>
    <t>ESCALAS DE ANÁLISE REGIONAL E TERRITORIAL (DIL01157)</t>
  </si>
  <si>
    <t>DIL01092</t>
  </si>
  <si>
    <t>ENCONTRO DE SABERES - COMUNIDADES LITORÂNEAS</t>
  </si>
  <si>
    <t>DIL01356</t>
  </si>
  <si>
    <t>GEOLOGIA E RECURSOS MINERAIS PARA ENGENHARIA</t>
  </si>
  <si>
    <t>ESTRATÉGIA EM SERVIÇOS (DIL01188)</t>
  </si>
  <si>
    <t>DIL01111</t>
  </si>
  <si>
    <t>INTRODUÇÃO À ÁLGEBRA LINEAR
 - DIL01101 - MODELOS MATEMÁTICOS ELEMENTARES</t>
  </si>
  <si>
    <t>FÍSICA PARA ENGENHARIA III (DIL01136)</t>
  </si>
  <si>
    <t>GEOGRAFIA URBANA A (DIL01070)</t>
  </si>
  <si>
    <t>GEOPROCESSAMENTO B (DIL01364)</t>
  </si>
  <si>
    <t>DIL01192</t>
  </si>
  <si>
    <t>INTRODUÇÃO À PSICOLOGIA DO DESENVOLVIMENTO E DA APRENDIZAGEM</t>
  </si>
  <si>
    <t>LABORATÓRIO DE CIRCUITOS ELÉTRICOS II (DIL01151)</t>
  </si>
  <si>
    <t>LABORATÓRIO DE DOCÊNCIA IV: O CURRÍCULO E A DIDÁTICA (DIL01365)</t>
  </si>
  <si>
    <t>DIL01118</t>
  </si>
  <si>
    <t>LÍNGUA BRASILEIRA DE SINAIS - LIBRAS (DIL01011)</t>
  </si>
  <si>
    <t>INTRODUÇÃO AO PENSAMENTO SOCIAL</t>
  </si>
  <si>
    <t>MÁQUINAS TÉRMICAS (DIL01152)</t>
  </si>
  <si>
    <t>MATERIAIS DE CONSTRUÇÃO (DIL01182)</t>
  </si>
  <si>
    <t>DIL01312</t>
  </si>
  <si>
    <t>FUNDAMENTOS DE ECOLOGIA - CBM</t>
  </si>
  <si>
    <t>DIL01115</t>
  </si>
  <si>
    <t>PROJETO INTEGRADOR 2: CONCEPÇÃO E DESENVOLVIMENTO DE SERVIÇOS (DIL01090)</t>
  </si>
  <si>
    <t>LABORATÓRIO DE FÍSICA PARA ENGENHARIA I
 - DIL01101 - MODELOS MATEMÁTICOS ELEMENTARES</t>
  </si>
  <si>
    <t>PROJETOS INTEGRADOS DE GESTÃO ESPACIAL (DIL01156)</t>
  </si>
  <si>
    <t>TÉCNICAS DE CONSTRUÇÃO - I (DIL01187)</t>
  </si>
  <si>
    <t>DIL01117</t>
  </si>
  <si>
    <t>DIL01119</t>
  </si>
  <si>
    <t>FUNDAMENTOS DE FÍSICA</t>
  </si>
  <si>
    <t>PRINCÍPIOS DE CARTOGRAFIA E AEROFOTOGEOGRAFIA</t>
  </si>
  <si>
    <t>ACESSIBILIDADE EM SERVIÇOS (DIL01059)</t>
  </si>
  <si>
    <t>ANÁLISES GLOBAIS E POLÍTICAS REGIONAIS (DIL01164)</t>
  </si>
  <si>
    <t>CIÊNCIA, TECNOLOGIA E SOCIEDADE (DIL01163)</t>
  </si>
  <si>
    <t>DIL01120</t>
  </si>
  <si>
    <t>TEORIAS DO DESENVOLVIMENTO</t>
  </si>
  <si>
    <t>CONVERSÃO DE ENERGIA E MÁQUINAS ELÉTRICAS (DIL01161)</t>
  </si>
  <si>
    <t>DEMANDA E CAPACIDADE EM SERVIÇOS (DIL01231)</t>
  </si>
  <si>
    <t>DESEMPENHO DAS EDIFICAÇÕES I: ENERGIA (DIL01186)</t>
  </si>
  <si>
    <t>DIL01121</t>
  </si>
  <si>
    <t>TRANSFORMAÇÕES SOCIOCULTURAIS E DESENVOLVIMENTO REGIONAL</t>
  </si>
  <si>
    <t>ENGENHARIA ECONÔMICA (DIL01190)</t>
  </si>
  <si>
    <t>FENÔMENOS DE TRANSPORTE A (DIL01160)</t>
  </si>
  <si>
    <t>GEOGRAFIA DO BRASIL A (DIL01143)</t>
  </si>
  <si>
    <t>DIL01363</t>
  </si>
  <si>
    <t>GEOGRAFIA POLÍTICA A (DIL01168)</t>
  </si>
  <si>
    <t>ALGORITMOS E PROGRAMAÇÃO
 - DIL01111 - INTRODUÇÃO À ÁLGEBRA LINEAR</t>
  </si>
  <si>
    <t>Etapa 3</t>
  </si>
  <si>
    <t>GEOMORFOLOGIA E AMBIENTES II (DIL01069)</t>
  </si>
  <si>
    <t>GESTÃO E PLANEJAMENTO PARA O DESENVOLVIMENTO REGIONAL (DIL01169)</t>
  </si>
  <si>
    <t>DIL01088</t>
  </si>
  <si>
    <t>GEOLOGIA GERAL</t>
  </si>
  <si>
    <t>LABORATÓRIO DE CONVERSÃO DE ENERGIA E MÁQUINAS ELÉTRICAS (DIL01162)</t>
  </si>
  <si>
    <t>DIL01122</t>
  </si>
  <si>
    <t>CÁLCULO DIFERENCIAL E INTEGRAL II
 - DIL01111 - INTRODUÇÃO À ÁLGEBRA LINEAR
 - e DIL01113 - CÁLCULO DIFERENCIAL E INTEGRAL I
 - e DIL01114 - FÍSICA PARA ENGENHARIA I</t>
  </si>
  <si>
    <t>LABORATÓRIO DE DOCÊNCIA V: A AVALIAÇÃO (DIL01367)</t>
  </si>
  <si>
    <t>LABORATÓRIO DE FENÔMENOS DE TRANSPORTE - A (DIL01058)</t>
  </si>
  <si>
    <t>DIL01354</t>
  </si>
  <si>
    <t>HISTÓRIA E FUNDAMENTOS DA GEOGRAFIA - A</t>
  </si>
  <si>
    <t>PESQUISA OPERACIONAL (DIL01148)</t>
  </si>
  <si>
    <t>DIL01134</t>
  </si>
  <si>
    <t>DEMOGRAFIA</t>
  </si>
  <si>
    <t>SISTEMAS COMPLEXOS E DESENVOLVIMENTO REGIONAL (DIL01165)</t>
  </si>
  <si>
    <t>TÉCNICAS DE CONSTRUÇÃO II (DIL01366)</t>
  </si>
  <si>
    <t>TRABALHO DE CAMPO INTEGRADO (DIL01155)</t>
  </si>
  <si>
    <t>DIL01130</t>
  </si>
  <si>
    <t>DESENVOLVIMENTO REGIONAL</t>
  </si>
  <si>
    <t>DIL01444</t>
  </si>
  <si>
    <t>HORTAS PEDAGÓGICAS: SABERES E PRÁTICAS</t>
  </si>
  <si>
    <t>ANÁLISE DE SISTEMAS DE ENERGIA ELÉTRICA (DIL01275)</t>
  </si>
  <si>
    <t>-</t>
  </si>
  <si>
    <t>COMBUSTÃO E COMBUSTÍVEIS (DIL01264)</t>
  </si>
  <si>
    <t>DIL01127</t>
  </si>
  <si>
    <t>EXPRESSÃO GRÁFICA</t>
  </si>
  <si>
    <t>ELETRÔNICA BÁSICA (DIL01261)</t>
  </si>
  <si>
    <t>DIL01355</t>
  </si>
  <si>
    <t>LABORATÓRIO DE ELETRÔNICA BÁSICA (DIL01262)</t>
  </si>
  <si>
    <t>GEOLOGIA GERAL - A</t>
  </si>
  <si>
    <t>DIL01123</t>
  </si>
  <si>
    <t>FÍSICA PARA ENGENHARIA II
 - DIL01111 - INTRODUÇÃO À ÁLGEBRA LINEAR
 - e DIL01113 - CÁLCULO DIFERENCIAL E INTEGRAL I
 - e DIL01114 - FÍSICA PARA ENGENHARIA I</t>
  </si>
  <si>
    <t>PRINCÍPIOS DE SISTEMAS DE CONTROLE (DIL01263)</t>
  </si>
  <si>
    <t>PRODUÇÃO DE ENERGIA E AMBIENTE (DIL01258)</t>
  </si>
  <si>
    <t>TECNOLOGIAS EMERGENTES NA ÁREA DE ENERGIA (DIL01259)</t>
  </si>
  <si>
    <t>DIL01109</t>
  </si>
  <si>
    <t>FUNDAMENTOS DE QUÍMICA</t>
  </si>
  <si>
    <t>CENTRAIS HIDROELÉTRICAS E TERMOELÉTRICAS (DIL01266)</t>
  </si>
  <si>
    <t>CLIMATIZAÇÃO (DIL01267)</t>
  </si>
  <si>
    <t>ELETRÔNICA DE POTÊNCIA (DIL01269)</t>
  </si>
  <si>
    <t>DIL01153</t>
  </si>
  <si>
    <t>GEOGRAFIA ECONÔMICA E HUMANA A</t>
  </si>
  <si>
    <t>ENERGIA EÓLICA (DIL01272)</t>
  </si>
  <si>
    <t>DIL01067</t>
  </si>
  <si>
    <t>LABORATÓRIO DE DOCÊNCIA I: A PROFISSÃO DOCENTE</t>
  </si>
  <si>
    <t>GERAÇÃO, DISTRIBUIÇÃO E UTILIZAÇÃO DE VAPOR (DIL01265)</t>
  </si>
  <si>
    <t>INSTRUMENTAÇÃO PARA SISTEMAS DE ENERGIA (DIL01268)</t>
  </si>
  <si>
    <t>DIL01124</t>
  </si>
  <si>
    <t>LABORATÓRIO DE FÍSICA PARA ENGENHARIA II
 - DIL01111 - INTRODUÇÃO À ÁLGEBRA LINEAR
 - e DIL01113 - CÁLCULO DIFERENCIAL E INTEGRAL I
 - e DIL01114 - FÍSICA PARA ENGENHARIA I</t>
  </si>
  <si>
    <t>MICROCONTROLADORES (DIL01062)</t>
  </si>
  <si>
    <t>TRANSPORTE DE ENERGIA ELÉTRICA (DIL01274)</t>
  </si>
  <si>
    <t>EFICIÊNCIA ENERGÉTICA EM INSTALAÇÕES E SISTEMAS (DIL01270)</t>
  </si>
  <si>
    <t>ENERGIA DA BIOMASSA (DIL01273)</t>
  </si>
  <si>
    <t>DIL01057</t>
  </si>
  <si>
    <t>LABORATÓRIO DE FUNDAMENTOS DE QUÍMICA</t>
  </si>
  <si>
    <t>METODOLOGIA DA CIÊNCIA - A</t>
  </si>
  <si>
    <t>ENERGIA SOLAR (DIL01271)</t>
  </si>
  <si>
    <t>INSTALAÇÕES ELÉTRICAS DE BAIXA TENSÃO (DIL01276)</t>
  </si>
  <si>
    <t>DIL01129</t>
  </si>
  <si>
    <t>POLÍTICAS PÚBLICAS DO DESENVOLVIMENTO REGIONAL</t>
  </si>
  <si>
    <t>INSTALAÇÕES ELÉTRICAS INDUSTRIAIS (DIL01277)</t>
  </si>
  <si>
    <t>INTRODUÇÃO À SIMULAÇÃO NUMÉRICA DE SISTEMAS DE ENERGIA (DIL01065)</t>
  </si>
  <si>
    <t>DIL01159</t>
  </si>
  <si>
    <t>REGULAÇÃO GOVERNAMENTAL NO MERCADO DE ENERGIA (DIL01280)</t>
  </si>
  <si>
    <t>CIÊNCIA E TECNOLOGIA DOS MATERIAIS
 - DIL01109 - FUNDAMENTOS DE QUÍMICA</t>
  </si>
  <si>
    <t>Etapa 4</t>
  </si>
  <si>
    <t xml:space="preserve"> (TRABALHO DE CONCLUSÃO DE CURSO I - ENGENHARIA DE GESTÃO DE ENERGIA)</t>
  </si>
  <si>
    <t>AUDITORIA ENERGÉTICA (DIL01282)</t>
  </si>
  <si>
    <t>DIL01138</t>
  </si>
  <si>
    <t>CIRCUITOS ELÉTRICOS I
 - DIL01111 - INTRODUÇÃO À ÁLGEBRA LINEAR
 - e DIL01113 - CÁLCULO DIFERENCIAL E INTEGRAL I</t>
  </si>
  <si>
    <t>CONTROLE DE PRODUÇÃO E PLANEJAMENTO DE SISTEMAS ENERGÉTICOS (DIL01281)</t>
  </si>
  <si>
    <t>ENGENHARIA DE SEGURANÇA DO TRABALHO (DIL01283)</t>
  </si>
  <si>
    <t>ÉTICA E EXERCÍCIO PROFISSIONAL EM ENGENHARIA (DIL01285)</t>
  </si>
  <si>
    <t>DIL01144</t>
  </si>
  <si>
    <t>GESTÃO DA EFICIÊNCIA ENERGÉTICA EM INSTALAÇÕES DE ENERGIA E SISTEMAS DE TRANSPORTE (DIL01064)</t>
  </si>
  <si>
    <t>DESENVOLVIMENTO RURAL</t>
  </si>
  <si>
    <t>PLANEJAMENTO ESTRATÉGICO NA INDUSTRIA DE ENERGIA (DIL01284)</t>
  </si>
  <si>
    <t>PROJETOS INTERDISCIPLINARES (DIL01063)</t>
  </si>
  <si>
    <t>DIL01145</t>
  </si>
  <si>
    <t>ECONOMIA POLÍTICA DO DESENVOLVIMENTO NO BRASIL</t>
  </si>
  <si>
    <t>TÓPICOS ESPECIAIS EM ENGENHARIA DE GESTÃO DE ENERGIA (DIL01286)</t>
  </si>
  <si>
    <t xml:space="preserve"> (TRABALHO DE CONCLUSÃO DE CURSO II - ENGENHARIA DE GESTÃO DE ENERGIA)</t>
  </si>
  <si>
    <t>COMPORTAMENTO DO CONSUMIDOR - CLN (DIL01234)</t>
  </si>
  <si>
    <t>DIL01357</t>
  </si>
  <si>
    <t>DIL01135</t>
  </si>
  <si>
    <t>CARTOGRAFIA TEMÁTICA E DIGITAL - A
 - DIL01119 - PRINCÍPIOS DE CARTOGRAFIA E AEROFOTOGEOGRAFIA</t>
  </si>
  <si>
    <t>EQUAÇÕES DIFERENCIAIS
 - DIL01122 - CÁLCULO DIFERENCIAL E INTEGRAL II</t>
  </si>
  <si>
    <t>DESEMPENHO DAS EDIFICAÇÕES II: CLIMATIZAÇÃO E ACÚSTICA (DIL01228)</t>
  </si>
  <si>
    <t>ESTOQUES E FILAS EM SERVIÇOS (DIL01230)</t>
  </si>
  <si>
    <t>DIL01125</t>
  </si>
  <si>
    <t>GESTÃO DO CONHECIMENTO (DIL01128)</t>
  </si>
  <si>
    <t>FUNDAMENTOS DO ELETROMAGNETISMO
 - DIL01111 - INTRODUÇÃO À ÁLGEBRA LINEAR
 - e DIL01113 - CÁLCULO DIFERENCIAL E INTEGRAL I</t>
  </si>
  <si>
    <t>MELHORIA DE PROCESSOS (DIL01233)</t>
  </si>
  <si>
    <t>PLANEJAMENTO E LAYOUT DAS INSTALAÇÕES (DIL01245)</t>
  </si>
  <si>
    <t>DIL01196</t>
  </si>
  <si>
    <t>PROGRAMAÇÃO APLICADA (DIL01235)</t>
  </si>
  <si>
    <t>INTRODUÇÃO À TERMODINÂMICA E ENERGIAS RENOVÁVEIS</t>
  </si>
  <si>
    <t>PROJETO INTEGRADOR 3: PLANEJAMENTO ESTRATÉGICO, DEMANDA E CAPACIDADE (DIL01091)</t>
  </si>
  <si>
    <t>RELAÇÕES DE FORNECIMENTO E LOGÍSTICA (DIL01229)</t>
  </si>
  <si>
    <t>DIL01139</t>
  </si>
  <si>
    <t>LABORATÓRIO DE CIRCUITOS ELÉTRICOS I
 - DIL01111 - INTRODUÇÃO À ÁLGEBRA LINEAR
 - e DIL01113 - CÁLCULO DIFERENCIAL E INTEGRAL I</t>
  </si>
  <si>
    <t>CUSTEIO E PRECIFICAÇÃO (DIL01238)</t>
  </si>
  <si>
    <t>DIL01177</t>
  </si>
  <si>
    <t>DESEMPENHO DAS EDIFICAÇÕES III: INSTALAÇÕES HIDROSSANITÁRIAS PREDIAIS (DIL01236)</t>
  </si>
  <si>
    <t>ESTUDOS ESTRATÉGICOS DO SETOR DE SERVIÇOS</t>
  </si>
  <si>
    <t>GESTÃO DA SEGURANÇA E SAÚDE NO TRABALHO - CLN (DIL01241)</t>
  </si>
  <si>
    <t>DIL01126</t>
  </si>
  <si>
    <t>LABORATÓRIO DE FUNDAMENTOS DO ELETROMAGNETISMO
 - DIL01111 - INTRODUÇÃO À ÁLGEBRA LINEAR
 - e DIL01113 - CÁLCULO DIFERENCIAL E INTEGRAL I</t>
  </si>
  <si>
    <t>GESTÃO DE PESSOAS - CLN (DIL01240)</t>
  </si>
  <si>
    <t>GESTÃO DE PROJETOS (DIL01247)</t>
  </si>
  <si>
    <t>DIL01140</t>
  </si>
  <si>
    <t>INOVAÇÃO EM SERVIÇOS (DIL01253)</t>
  </si>
  <si>
    <t>LIDERANÇA E EMPREENDEDORISMO</t>
  </si>
  <si>
    <t>PROJETO INTEGRADOR 4: INSTALAÇÕES FÍSICAS (DIL01246)</t>
  </si>
  <si>
    <t>DIL01141</t>
  </si>
  <si>
    <t>SERVIÇOS SUSTENTÁVEIS (DIL01250)</t>
  </si>
  <si>
    <t>FUNDAMENTOS DE METEOROLOGIA E CLIMATOLOGIA A
 - DIL01133 - GEOMORFOLOGIA E AMBIENTES A</t>
  </si>
  <si>
    <t>DIL01146</t>
  </si>
  <si>
    <t>PROCESSOS DE CONSTRUÇÃO DE IDENTIDADES</t>
  </si>
  <si>
    <t>SISTEMAS DE INFORMAÇÃO - CLN (DIL01242)</t>
  </si>
  <si>
    <t>DESEMPENHO DAS EDIFICAÇÕES IV: SUSTENTABILIDADE (DIL01243)</t>
  </si>
  <si>
    <t>GESTÃO DA CONSTRUÇÃO (DIL01244)</t>
  </si>
  <si>
    <t>PROJETO INTEGRADOR 5: VIABILIDADE ECONÔMICA (DIL01239)</t>
  </si>
  <si>
    <t>DIL01361</t>
  </si>
  <si>
    <t>SENSORIAMENTO REMOTO - A
 - DIL01119 - PRINCÍPIOS DE CARTOGRAFIA E AEROFOTOGEOGRAFIA</t>
  </si>
  <si>
    <t>SERVIÇOS WEB E NUVENS (DIL01256)</t>
  </si>
  <si>
    <t>SIMULAÇÃO DE OPERAÇÕES (DIL01249)</t>
  </si>
  <si>
    <t>DIL01089</t>
  </si>
  <si>
    <t>SISTEMAS DE GARANTIA DA QUALIDADE - CLN (DIL01248)</t>
  </si>
  <si>
    <t>DIL01150</t>
  </si>
  <si>
    <t>CIRCUITOS ELÉTRICOS II
 - DIL01135 - EQUAÇÕES DIFERENCIAIS
 - e DIL01138 - CIRCUITOS ELÉTRICOS I</t>
  </si>
  <si>
    <t>TÓPICOS ESPECIAIS EM ENGENHARIA DE SERVIÇOS (DIL01257)</t>
  </si>
  <si>
    <t>Etapa 5</t>
  </si>
  <si>
    <t>AVALIAÇÃO DE INFRAESTRUTURA CIVIL NA PRESTAÇÃO E OTIMIZAÇÃO DE SERVIÇOS (DIL01377)</t>
  </si>
  <si>
    <t>FUNDAMENTOS E ORGANIZAÇÃO DE EMPRESAS DE SERVIÇOS
 - DIL01158 - ADMINISTRAÇÃO</t>
  </si>
  <si>
    <t>DIL01154</t>
  </si>
  <si>
    <t>OPERAÇÃO E MANUTENÇÃO DE INSTALAÇÕES (DIL01251)</t>
  </si>
  <si>
    <t>ECONOMIA E AMBIENTE</t>
  </si>
  <si>
    <t>PROJETO INTEGRADOR 6: ANÁLISES DAS OPERAÇÕES (DIL01252)</t>
  </si>
  <si>
    <t xml:space="preserve"> (TRABALHO DE CONCLUSÃO DE CURSO DE ENGENHARIA DE SERVIÇOS)</t>
  </si>
  <si>
    <t>DIL01157</t>
  </si>
  <si>
    <t>ESCALAS DE ANÁLISE REGIONAL E TERRITORIAL</t>
  </si>
  <si>
    <t>INTRODUÇÃO À DINÂMICA E AOS PROCESSOS DA NATUREZA - B (DIL01093)</t>
  </si>
  <si>
    <t>GEOGRAFIA ECONÔMICA - CLN (DIL01094)</t>
  </si>
  <si>
    <t>DIL01133</t>
  </si>
  <si>
    <t>DIL01136</t>
  </si>
  <si>
    <t>GEOMORFOLOGIA E AMBIENTES A
 - DIL01355 - GEOLOGIA GERAL - A</t>
  </si>
  <si>
    <t>FÍSICA PARA ENGENHARIA III
 - DIL01122 - CÁLCULO DIFERENCIAL E INTEGRAL II
 - e DIL01123 - FÍSICA PARA ENGENHARIA II</t>
  </si>
  <si>
    <t>GEOLOGIA GERAL (DIL01088)</t>
  </si>
  <si>
    <t>GEOGRAFIA DA POPULAÇÃO (DIL01095)</t>
  </si>
  <si>
    <t>DIL01151</t>
  </si>
  <si>
    <t>LABORATÓRIO DE DOCÊNCIA III: CURRÍCULO, DIDÁTICA E AVALIAÇÃO (DIL01096)</t>
  </si>
  <si>
    <t>LABORATÓRIO DE CIRCUITOS ELÉTRICOS II
 - DIL01135 - EQUAÇÕES DIFERENCIAIS
 - e DIL01138 - CIRCUITOS ELÉTRICOS I
 - e DIL01139 - LABORATÓRIO DE CIRCUITOS ELÉTRICOS I</t>
  </si>
  <si>
    <t>EDUCAÇÃO PARA RELAÇÕES ÉTNICO-RACIAIS (DIL01097)</t>
  </si>
  <si>
    <t>LABORATÓRIO DE DOCÊNCIA V: A GEOGRAFIA ESCOLAR (DIL01369)</t>
  </si>
  <si>
    <t>DIL01011</t>
  </si>
  <si>
    <t>LÍNGUA BRASILEIRA DE SINAIS - LIBRAS</t>
  </si>
  <si>
    <t>POLÍTICAS PÚBLICAS DA EDUCAÇÃO (DIL01368)</t>
  </si>
  <si>
    <t>CLIMATOLOGIA GEOGRÁFICA (DIL01072)</t>
  </si>
  <si>
    <t>GEOMORFOLOGIA E AMBIENTES A</t>
  </si>
  <si>
    <t>EPISTEMOLOGIA DA GEOGRAFIA (DIL01197)</t>
  </si>
  <si>
    <t>DIL01152</t>
  </si>
  <si>
    <t>MÁQUINAS TÉRMICAS
 - DIL01123 - FÍSICA PARA ENGENHARIA II</t>
  </si>
  <si>
    <t>GEOGRAFIA CULTURAL - CLN (DIL01098)</t>
  </si>
  <si>
    <t>GEOGRAFIA DA AMÉRICA LATINA (DIL01198)</t>
  </si>
  <si>
    <t>DIL01358</t>
  </si>
  <si>
    <t>LABORATÓRIO DE DOCÊNCIA VI: A CARTOGRAFIA ESCOLAR (DIL01372)</t>
  </si>
  <si>
    <t>DIL01137</t>
  </si>
  <si>
    <t>LABORATÓRIO DE DOCÊNCIA II: O AMBIENTE ESCOLAR - A</t>
  </si>
  <si>
    <t>MECÂNICA E RESISTÊNCIA DOS MATERIAIS
 - DIL01114 - FÍSICA PARA ENGENHARIA I
 - e DIL01122 - CÁLCULO DIFERENCIAL E INTEGRAL II</t>
  </si>
  <si>
    <t>ESTÁGIO DE DOCÊNCIA EM GEOGRAFIA I: PREPARAÇÃO À DOCÊNCIA (DIL01371)</t>
  </si>
  <si>
    <t>LABORATÓRIO DE DOCÊNCIA VII: INSTRUMENTAÇÃO PARA O ENSINO DA GEOGRAFIA I (DIL01374)</t>
  </si>
  <si>
    <t>DIL01179</t>
  </si>
  <si>
    <t>PROJETO INTEGRADOR 1: DIAGNÓSTICO DO SETOR DE SERVIÇO DA REGIÃO</t>
  </si>
  <si>
    <t>METODOLOGIA DA PESQUISA EM GEOGRAFIA (DIL01203)</t>
  </si>
  <si>
    <t>DIL01148</t>
  </si>
  <si>
    <t>PESQUISA OPERACIONAL
 - DIL01112 - ESTATÍSTICA I
 - e DIL01113 - CÁLCULO DIFERENCIAL E INTEGRAL I</t>
  </si>
  <si>
    <t>REGIONALIZAÇÃO DO ESPAÇO MUNDIAL (DIL01370)</t>
  </si>
  <si>
    <t>ESTÁGIO DE DOCÊNCIA EM GEOGRAFIA II (DIL01373)</t>
  </si>
  <si>
    <t>DIL01178</t>
  </si>
  <si>
    <t>QUALIDADE EM SERVIÇOS
 - DIL01158 - ADMINISTRAÇÃO</t>
  </si>
  <si>
    <t>GEOGRAFIA DO RIO GRANDE DO SUL (DIL01207)</t>
  </si>
  <si>
    <t>DIL01156</t>
  </si>
  <si>
    <t>PROJETOS INTEGRADOS DE GESTÃO ESPACIAL</t>
  </si>
  <si>
    <t>LABORATÓRIO DE DOCÊNCIA VIII: INSTRUMENTAÇÃO PARA O ENSINO DE GEOGRAFIA II (DIL01376)</t>
  </si>
  <si>
    <t>PRÁTICAS PEDAGÓGICAS INCLUSIVAS E O ENSINO DE GEOGRAFIA (DIL01099)</t>
  </si>
  <si>
    <t xml:space="preserve"> (TRABALHO DE CONCLUSÃO DE CURSO LICENCIATURA EM GEOGRAFIA - CLN I)</t>
  </si>
  <si>
    <t>Etapa 6</t>
  </si>
  <si>
    <t>ESTÁGIO DE DOCÊNCIA EM GEOGRAFIA III (DIL01375)</t>
  </si>
  <si>
    <t xml:space="preserve"> (TRABALHO DE CONCLUSÃO DE CURSO LICENCIATURA EM GEOGRAFIA - CLN II)</t>
  </si>
  <si>
    <t>DIL01164</t>
  </si>
  <si>
    <t>ADMINISTRAÇÃO E GESTÃO AMBIENTAL - A (DIL01347)</t>
  </si>
  <si>
    <t>ANÁLISES GLOBAIS E POLÍTICAS REGIONAIS</t>
  </si>
  <si>
    <t>AGROECOLOGIA E ALIMENTOS TRADICIONAIS (DIL01061)</t>
  </si>
  <si>
    <t>COOPERATIVISMO, ASSOCIATIVISMO E ECONOMIA SOLIDÁRIA (DIL01220)</t>
  </si>
  <si>
    <t>DIL01163</t>
  </si>
  <si>
    <t>CIÊNCIA, TECNOLOGIA E SOCIEDADE</t>
  </si>
  <si>
    <t>DESENVOLVIMENTO REGIONAL E ORDENAMENTO ESPACIAL (DIL01214)</t>
  </si>
  <si>
    <t>DINÂMICA DO AMBIENTE COSTEIRO (DIL01077)</t>
  </si>
  <si>
    <t>DIL01147</t>
  </si>
  <si>
    <t>EDUCAÇÃO AMBIENTAL - CBM (DIL01345)</t>
  </si>
  <si>
    <t>CIÊNCIAS DO AMBIENTE: ENERGIA E MEIO AMBIENTE
 - DIL01353 - INTRODUÇÃO À DINÂMICA E AOS PROCESSOS DA NATUREZA - A</t>
  </si>
  <si>
    <t>ELEMENTOS DE GEOLOGIA COSTEIRA E MARINHA (DIL01055)</t>
  </si>
  <si>
    <t>ESTUDOS ESTRATÉGICOS DO SETOR DE SERVIÇOS (DIL01177)</t>
  </si>
  <si>
    <t>DIL01161</t>
  </si>
  <si>
    <t>CONVERSÃO DE ENERGIA E MÁQUINAS ELÉTRICAS
 - DIL01125 - FUNDAMENTOS DO ELETROMAGNETISMO
 - e DIL01150 - CIRCUITOS ELÉTRICOS II</t>
  </si>
  <si>
    <t>ÉTICA E MEIO AMBIENTE (DIL01082)</t>
  </si>
  <si>
    <t>ETNODESENVOLVIMENTO E MEDIAÇÕES POLÍTICO-CULTURAIS (DIL01211)</t>
  </si>
  <si>
    <t>GEOGRAFIA, GÊNERO E SEXUALIDADES (DIL01443)</t>
  </si>
  <si>
    <t>DIL01190</t>
  </si>
  <si>
    <t>ENGENHARIA ECONÔMICA
 - DIL01112 - ESTATÍSTICA I</t>
  </si>
  <si>
    <t>GERENCIAMENTO DE PROJETOS (DIL01221)</t>
  </si>
  <si>
    <t>GESTÃO AMBIENTAL - QUESTÃO AMBIENTAL: ESTRATÉGIAS, PROJETOS E POLÍTICAS (DIL01212)</t>
  </si>
  <si>
    <t>DIL01195</t>
  </si>
  <si>
    <t>FILOSOFIA E SOCIOLOGIA DA EDUCAÇÃO</t>
  </si>
  <si>
    <t>GESTÃO DE BACIAS HIDROGRÁFICAS (DIL01297)</t>
  </si>
  <si>
    <t>DIL01160</t>
  </si>
  <si>
    <t>FENÔMENOS DE TRANSPORTE A
 - DIL01135 - EQUAÇÕES DIFERENCIAIS
 - e DIL01152 - MÁQUINAS TÉRMICAS</t>
  </si>
  <si>
    <t>GOVERNANÇA, CIDADANIA E PARTICIPAÇÃO POPULAR (DIL01213)</t>
  </si>
  <si>
    <t>DIL01359</t>
  </si>
  <si>
    <t>HISTÓRIA DA CIÊNCIA - CBM (DIL01313)</t>
  </si>
  <si>
    <t>FUNDAMENTOS DE ELETRICIDADE E APLICAÇÕES
 - DIL01111 - INTRODUÇÃO À ÁLGEBRA LINEAR
 - e DIL01113 - CÁLCULO DIFERENCIAL E INTEGRAL I</t>
  </si>
  <si>
    <t>DIL01169</t>
  </si>
  <si>
    <t>GESTÃO E PLANEJAMENTO PARA O DESENVOLVIMENTO REGIONAL</t>
  </si>
  <si>
    <t>HISTÓRIA E CULTURA DE COMUNIDADES COSTEIRAS (DIL01308)</t>
  </si>
  <si>
    <t>LEGISLAÇÃO AMBIENTAL - A (DIL01341)</t>
  </si>
  <si>
    <t>DIL01066</t>
  </si>
  <si>
    <t>GEOGRAFIA AGRÁRIA - A
 - DIL01354 - HISTÓRIA E FUNDAMENTOS DA GEOGRAFIA - A</t>
  </si>
  <si>
    <t>LIMNOLOGIA I (DIL01333)</t>
  </si>
  <si>
    <t>DIL01162</t>
  </si>
  <si>
    <t>LABORATÓRIO DE CONVERSÃO DE ENERGIA E MÁQUINAS ELÉTRICAS
 - DIL01125 - FUNDAMENTOS DO ELETROMAGNETISMO
 - e DIL01150 - CIRCUITOS ELÉTRICOS II</t>
  </si>
  <si>
    <t>MONITORAMENTO AMBIENTAL LITORÂNEO (DIL01299)</t>
  </si>
  <si>
    <t>MOVIMENTOS SOCIAIS E AÇÃO COLETIVA (DIL01217)</t>
  </si>
  <si>
    <t>DIL01142</t>
  </si>
  <si>
    <t>MUSEOLOGIA E A HISTÓRIA NATURAL (DIL01331)</t>
  </si>
  <si>
    <t>DIL01058</t>
  </si>
  <si>
    <t>HIDROGRAFIA E OCEANOGRAFIA A</t>
  </si>
  <si>
    <t>LABORATÓRIO DE FENÔMENOS DE TRANSPORTE - A
 - DIL01135 - EQUAÇÕES DIFERENCIAIS
 - e DIL01152 - MÁQUINAS TÉRMICAS</t>
  </si>
  <si>
    <t>NATUREZA, SOCIEDADE E DESENVOLVIMENTO (DIL01227)</t>
  </si>
  <si>
    <t>OCEANOGRAFIA I (DIL01317)</t>
  </si>
  <si>
    <t>OCEANOS, CLIMA E DINÂMICA COSTEIRA (DIL01301)</t>
  </si>
  <si>
    <t>DIL01165</t>
  </si>
  <si>
    <t>SISTEMAS COMPLEXOS E DESENVOLVIMENTO REGIONAL</t>
  </si>
  <si>
    <t>INTRODUÇÃO À TERMODINÂMICA E ENERGIAS RENOVÁVEIS
 - DIL01109 - FUNDAMENTOS DE QUÍMICA</t>
  </si>
  <si>
    <t>ORGANIZAÇÃO DE EMPRESAS DE SERVIÇOS (DIL01183)</t>
  </si>
  <si>
    <t>PENSAMENTO SOCIAL BRASILEIRO (DIL01210)</t>
  </si>
  <si>
    <t>DIL01275</t>
  </si>
  <si>
    <t>ANÁLISE DE SISTEMAS DE ENERGIA ELÉTRICA
 - DIL01161 - CONVERSÃO DE ENERGIA E MÁQUINAS ELÉTRICAS</t>
  </si>
  <si>
    <t>PESQUISA QUALITATIVA I (DIL01215)</t>
  </si>
  <si>
    <t>Etapa 7</t>
  </si>
  <si>
    <t>PESQUISA QUALITATIVA II (DIL01222)</t>
  </si>
  <si>
    <t>DIL01264</t>
  </si>
  <si>
    <t>PESQUISA QUANTITATIVA I (DIL01216)</t>
  </si>
  <si>
    <t>COMBUSTÃO E COMBUSTÍVEIS
 - DIL01152 - MÁQUINAS TÉRMICAS</t>
  </si>
  <si>
    <t>PESQUISA QUANTITATIVA II (DIL01223)</t>
  </si>
  <si>
    <t>PLANEJAMENTO E ELABORAÇÃO DE PROJETOS PARA O DESENVOLVIMENTO REGIONAL (DIL01225)</t>
  </si>
  <si>
    <t>DIL01261</t>
  </si>
  <si>
    <t>ELETRÔNICA BÁSICA
 - DIL01150 - CIRCUITOS ELÉTRICOS II</t>
  </si>
  <si>
    <t>PLANEJAMENTO, ELABORAÇÃO E GERENCIAMENTO DE PROJETOS PARA O DESENVOLVIMENTO REGIONAL (DIL01085)</t>
  </si>
  <si>
    <t>POLUIÇÃO COSTEIRA E MARINHA - A (DIL01342)</t>
  </si>
  <si>
    <t>DIL01180</t>
  </si>
  <si>
    <t>MARKETING E SATISFAÇÃO DO CLIENTE EM SERVIÇOS</t>
  </si>
  <si>
    <t>DIL01262</t>
  </si>
  <si>
    <t>LABORATÓRIO DE ELETRÔNICA BÁSICA
 - DIL01150 - CIRCUITOS ELÉTRICOS II</t>
  </si>
  <si>
    <t>PROJETO INTEGRADOR 2: CONCEPÇÃO DO SERVIÇO E PLANO DE NEGÓCIOS (DIL01181)</t>
  </si>
  <si>
    <t>PROJETO INTEGRADOR 3: DESENVOLVIMENTO DE SERVIÇOS (DIL01185)</t>
  </si>
  <si>
    <t>DIL01263</t>
  </si>
  <si>
    <t>PROJETO INTEGRADOR 4: PLANEJAMENTO ESTRATÉGICO (DIL01189)</t>
  </si>
  <si>
    <t>PRINCÍPIOS DE SISTEMAS DE CONTROLE
 - DIL01150 - CIRCUITOS ELÉTRICOS II</t>
  </si>
  <si>
    <t>RECURSOS MINERAIS E ENERGÉTICOS COSTEIROS (DIL01287)</t>
  </si>
  <si>
    <t>SENSORIAMENTO REMOTO APLICADO À GEOLOGIA MARINHA E COSTEIRA - A (DIL01076)</t>
  </si>
  <si>
    <t>DIL01258</t>
  </si>
  <si>
    <t>TEORIAS, ESTRATÉGIAS E PRÁTICAS EM METODOLOGIAS PARTICIPATIVAS (DIL01060)</t>
  </si>
  <si>
    <t>PRODUÇÃO DE ENERGIA E AMBIENTE
 - DIL01125 - FUNDAMENTOS DO ELETROMAGNETISMO
 - e DIL01152 - MÁQUINAS TÉRMICAS</t>
  </si>
  <si>
    <t>DIL01360</t>
  </si>
  <si>
    <t>HISTÓRIA DA EDUCAÇÃO - A</t>
  </si>
  <si>
    <t>TERRITÓRIO E TRIBUTAÇÃO (DIL01100)</t>
  </si>
  <si>
    <t>TOPOGRAFIA APLICADA À MORFOLOGIA COSTEIRA (DIL01075)</t>
  </si>
  <si>
    <t>DIL01259</t>
  </si>
  <si>
    <t>TECNOLOGIAS EMERGENTES NA ÁREA DE ENERGIA
 - DIL01161 - CONVERSÃO DE ENERGIA E MÁQUINAS ELÉTRICAS</t>
  </si>
  <si>
    <t>Obrigatória (TRABALHO DE CONCLUSÃO DE CURSO - DESENVOLVIMENTO REGIONAL)</t>
  </si>
  <si>
    <t>ENCONTRO DE SABERES - COMUNIDADES LITORÂNEAS (DIL01092)</t>
  </si>
  <si>
    <t>DIL01266</t>
  </si>
  <si>
    <t>CENTRAIS HIDROELÉTRICAS E TERMOELÉTRICAS
 - DIL01152 - MÁQUINAS TÉRMICAS
 - e DIL01160 - FENÔMENOS DE TRANSPORTE A</t>
  </si>
  <si>
    <t>BIM NA GESTÃO PÚBLICA</t>
  </si>
  <si>
    <t>Etapa 8</t>
  </si>
  <si>
    <t>APRENDIZAGEM DE MÁQUINAS</t>
  </si>
  <si>
    <t>ANÁLISE MULTIVARIADAS DE DADOS E PSICOMETRIA</t>
  </si>
  <si>
    <t>DIL01267</t>
  </si>
  <si>
    <t>METODOLOGIA DE ANÁLISE DE DADOS</t>
  </si>
  <si>
    <t>CLIMATIZAÇÃO
 - DIL01160 - FENÔMENOS DE TRANSPORTE A</t>
  </si>
  <si>
    <t>DIL01269</t>
  </si>
  <si>
    <t>ELETRÔNICA DE POTÊNCIA
 - DIL01161 - CONVERSÃO DE ENERGIA E MÁQUINAS ELÉTRICAS
 - e DIL01261 - ELETRÔNICA BÁSICA</t>
  </si>
  <si>
    <t>DIL01362</t>
  </si>
  <si>
    <t>LABORATÓRIO DE DOCÊNCIA IV: A GESTÃO ESCOLAR</t>
  </si>
  <si>
    <t>DIL01272</t>
  </si>
  <si>
    <t>ENERGIA EÓLICA
 - DIL01160 - FENÔMENOS DE TRANSPORTE A
 - e DIL01161 - CONVERSÃO DE ENERGIA E MÁQUINAS ELÉTRICAS</t>
  </si>
  <si>
    <t>DIL01265</t>
  </si>
  <si>
    <t>GERAÇÃO, DISTRIBUIÇÃO E UTILIZAÇÃO DE VAPOR
 - DIL01160 - FENÔMENOS DE TRANSPORTE A</t>
  </si>
  <si>
    <t>DIL01184</t>
  </si>
  <si>
    <t>DESENVOLVIMENTO E PROTOTIPAGEM DE SERVIÇOS</t>
  </si>
  <si>
    <t>DIL01268</t>
  </si>
  <si>
    <t>INSTRUMENTAÇÃO PARA SISTEMAS DE ENERGIA
 - DIL01112 - ESTATÍSTICA I
 - e DIL01261 - ELETRÔNICA BÁSICA</t>
  </si>
  <si>
    <t>DIL01062</t>
  </si>
  <si>
    <t>MICROCONTROLADORES
 - DIL01261 - ELETRÔNICA BÁSICA
 - e DIL01262 - LABORATÓRIO DE ELETRÔNICA BÁSICA</t>
  </si>
  <si>
    <t>DIL01274</t>
  </si>
  <si>
    <t>DIL01188</t>
  </si>
  <si>
    <t>TRANSPORTE DE ENERGIA ELÉTRICA
 - DIL01125 - FUNDAMENTOS DO ELETROMAGNETISMO
 - e DIL01137 - MECÂNICA E RESISTÊNCIA DOS MATERIAIS</t>
  </si>
  <si>
    <t>ESTRATÉGIA EM SERVIÇOS
 - DIL01089 - FUNDAMENTOS E ORGANIZAÇÃO DE EMPRESAS DE SERVIÇOS</t>
  </si>
  <si>
    <t>DIL01270</t>
  </si>
  <si>
    <t>EFICIÊNCIA ENERGÉTICA EM INSTALAÇÕES E SISTEMAS
 - DIL01267 - CLIMATIZAÇÃO</t>
  </si>
  <si>
    <t>Etapa 9</t>
  </si>
  <si>
    <t>DIL01070</t>
  </si>
  <si>
    <t>DIL01273</t>
  </si>
  <si>
    <t>GEOGRAFIA URBANA A
 - DIL01354 - HISTÓRIA E FUNDAMENTOS DA GEOGRAFIA - A</t>
  </si>
  <si>
    <t>ENERGIA DA BIOMASSA
 - DIL01264 - COMBUSTÃO E COMBUSTÍVEIS</t>
  </si>
  <si>
    <t>DIL01364</t>
  </si>
  <si>
    <t>GEOPROCESSAMENTO B
 - DIL01361 - SENSORIAMENTO REMOTO - A</t>
  </si>
  <si>
    <t>DIL01271</t>
  </si>
  <si>
    <t>ENERGIA SOLAR
 - DIL01159 - CIÊNCIA E TECNOLOGIA DOS MATERIAIS</t>
  </si>
  <si>
    <t>ESTÁGIO CURRICULAR PARA ENGENHARIA DE GESTÃO DE ENERGIA
 - Créditos Obrigatórios - 180</t>
  </si>
  <si>
    <t>DIL01071</t>
  </si>
  <si>
    <t>BIOGEOGRAFIA A
 - DIL01093 - INTRODUÇÃO À DINÂMICA E AOS PROCESSOS DA NATUREZA - B</t>
  </si>
  <si>
    <t>DIL01276</t>
  </si>
  <si>
    <t>INSTALAÇÕES ELÉTRICAS DE BAIXA TENSÃO
 - DIL01161 - CONVERSÃO DE ENERGIA E MÁQUINAS ELÉTRICAS</t>
  </si>
  <si>
    <t>DIL01277</t>
  </si>
  <si>
    <t>CIÊNCIAS DO AMBIENTE: ENERGIA E MEIO AMBIENTE
 - DIL01093 - INTRODUÇÃO À DINÂMICA E AOS PROCESSOS DA NATUREZA - B</t>
  </si>
  <si>
    <t>INSTALAÇÕES ELÉTRICAS INDUSTRIAIS
 - DIL01161 - CONVERSÃO DE ENERGIA E MÁQUINAS ELÉTRICAS</t>
  </si>
  <si>
    <t>DIL01182</t>
  </si>
  <si>
    <t>DIL01065</t>
  </si>
  <si>
    <t>MATERIAIS DE CONSTRUÇÃO
 - DIL01159 - CIÊNCIA E TECNOLOGIA DOS MATERIAIS</t>
  </si>
  <si>
    <t>INTRODUÇÃO À SIMULAÇÃO NUMÉRICA DE SISTEMAS DE ENERGIA
 - DIL01272 - ENERGIA EÓLICA</t>
  </si>
  <si>
    <t>DIL01280</t>
  </si>
  <si>
    <t>REGULAÇÃO GOVERNAMENTAL NO MERCADO DE ENERGIA
 - DIL01274 - TRANSPORTE DE ENERGIA ELÉTRICA</t>
  </si>
  <si>
    <t>DIL01090</t>
  </si>
  <si>
    <t>PROJETO INTEGRADOR 2: CONCEPÇÃO E DESENVOLVIMENTO DE SERVIÇOS
 - DIL01179 - PROJETO INTEGRADOR 1: DIAGNÓSTICO DO SETOR DE SERVIÇO DA REGIÃO</t>
  </si>
  <si>
    <t>TRABALHO DE CONCLUSÃO DE CURSO I - ENGENHARIA DE GESTÃO DE ENERGIA
 - Créditos Obrigatórios - 180</t>
  </si>
  <si>
    <t>DIL01282</t>
  </si>
  <si>
    <t>AUDITORIA ENERGÉTICA
 - DIL01154 - ECONOMIA E AMBIENTE
 - e DIL01158 - ADMINISTRAÇÃO
 - e DIL01270 - EFICIÊNCIA ENERGÉTICA EM INSTALAÇÕES E SISTEMAS</t>
  </si>
  <si>
    <t>Etapa 10</t>
  </si>
  <si>
    <t>DIL01187</t>
  </si>
  <si>
    <t>TÉCNICAS DE CONSTRUÇÃO - I
 - DIL01159 - CIÊNCIA E TECNOLOGIA DOS MATERIAIS</t>
  </si>
  <si>
    <t>DIL01068</t>
  </si>
  <si>
    <t>EDUCAÇÃO E DIVERSIDADE</t>
  </si>
  <si>
    <t>DIL01281</t>
  </si>
  <si>
    <t>CONTROLE DE PRODUÇÃO E PLANEJAMENTO DE SISTEMAS ENERGÉTICOS
 - DIL01274 - TRANSPORTE DE ENERGIA ELÉTRICA
 - e DIL01280 - REGULAÇÃO GOVERNAMENTAL NO MERCADO DE ENERGIA</t>
  </si>
  <si>
    <t>DIL01059</t>
  </si>
  <si>
    <t>ACESSIBILIDADE EM SERVIÇOS
 - DIL01127 - EXPRESSÃO GRÁFICA</t>
  </si>
  <si>
    <t>DIL01283</t>
  </si>
  <si>
    <t>ENGENHARIA DE SEGURANÇA DO TRABALHO</t>
  </si>
  <si>
    <t>DIL01285</t>
  </si>
  <si>
    <t>ÉTICA E EXERCÍCIO PROFISSIONAL EM ENGENHARIA</t>
  </si>
  <si>
    <t>DIL01064</t>
  </si>
  <si>
    <t>GESTÃO DA EFICIÊNCIA ENERGÉTICA EM INSTALAÇÕES DE ENERGIA E SISTEMAS DE TRANSPORTE
 - DIL01158 - ADMINISTRAÇÃO
 - e DIL01270 - EFICIÊNCIA ENERGÉTICA EM INSTALAÇÕES E SISTEMAS</t>
  </si>
  <si>
    <t>DIL01231</t>
  </si>
  <si>
    <t>DIL01284</t>
  </si>
  <si>
    <t>DEMANDA E CAPACIDADE EM SERVIÇOS
 - DIL01188 - ESTRATÉGIA EM SERVIÇOS</t>
  </si>
  <si>
    <t>PLANEJAMENTO ESTRATÉGICO NA INDUSTRIA DE ENERGIA
 - DIL01275 - ANÁLISE DE SISTEMAS DE ENERGIA ELÉTRICA</t>
  </si>
  <si>
    <t>DIL01063</t>
  </si>
  <si>
    <t>PROJETOS INTERDISCIPLINARES
 - Créditos Obrigatórios - 140</t>
  </si>
  <si>
    <t>DIL01186</t>
  </si>
  <si>
    <t>DESEMPENHO DAS EDIFICAÇÕES I: ENERGIA
 - DIL01182 - MATERIAIS DE CONSTRUÇÃO
 - e DIL01187 - TÉCNICAS DE CONSTRUÇÃO - I</t>
  </si>
  <si>
    <t>DIL01286</t>
  </si>
  <si>
    <t>TÓPICOS ESPECIAIS EM ENGENHARIA DE GESTÃO DE ENERGIA</t>
  </si>
  <si>
    <t>TRABALHO DE CONCLUSÃO DE CURSO II - ENGENHARIA DE GESTÃO DE ENERGIA
 - TRABALHO - TRABALHO DE CONCLUSÃO DE CURSO I - ENGENHARIA DE GESTÃO DE ENERGIA</t>
  </si>
  <si>
    <t>DIL01143</t>
  </si>
  <si>
    <t>GEOGRAFIA DO BRASIL A
 - DIL01066 - GEOGRAFIA AGRÁRIA - A
 - e DIL01070 - GEOGRAFIA URBANA A
 - e DIL01153 - GEOGRAFIA ECONÔMICA E HUMANA A</t>
  </si>
  <si>
    <t>DIL01168</t>
  </si>
  <si>
    <t>GEOGRAFIA POLÍTICA A</t>
  </si>
  <si>
    <t>DIL01366</t>
  </si>
  <si>
    <t>TÉCNICAS DE CONSTRUÇÃO II
 - DIL01182 - MATERIAIS DE CONSTRUÇÃO
 - e DIL01187 - TÉCNICAS DE CONSTRUÇÃO - I</t>
  </si>
  <si>
    <t>DIL01234</t>
  </si>
  <si>
    <t>COMPORTAMENTO DO CONSUMIDOR - CLN
 - DIL01180 - MARKETING E SATISFAÇÃO DO CLIENTE EM SERVIÇOS</t>
  </si>
  <si>
    <t>DIL01228</t>
  </si>
  <si>
    <t>DESEMPENHO DAS EDIFICAÇÕES II: CLIMATIZAÇÃO E ACÚSTICA
 - DIL01186 - DESEMPENHO DAS EDIFICAÇÕES I: ENERGIA</t>
  </si>
  <si>
    <t>DIL01230</t>
  </si>
  <si>
    <t>ESTOQUES E FILAS EM SERVIÇOS
 - DIL01112 - ESTATÍSTICA I</t>
  </si>
  <si>
    <t>DIL01128</t>
  </si>
  <si>
    <t>GESTÃO DO CONHECIMENTO</t>
  </si>
  <si>
    <t>DIL01233</t>
  </si>
  <si>
    <t>MELHORIA DE PROCESSOS
 - DIL01089 - FUNDAMENTOS E ORGANIZAÇÃO DE EMPRESAS DE SERVIÇOS</t>
  </si>
  <si>
    <t>DIL01245</t>
  </si>
  <si>
    <t>PLANEJAMENTO E LAYOUT DAS INSTALAÇÕES
 - DIL01059 - ACESSIBILIDADE EM SERVIÇOS</t>
  </si>
  <si>
    <t>DIL01235</t>
  </si>
  <si>
    <t>PROGRAMAÇÃO APLICADA
 - DIL01363 - ALGORITMOS E PROGRAMAÇÃO</t>
  </si>
  <si>
    <t>DIL01091</t>
  </si>
  <si>
    <t>PROJETO INTEGRADOR 3: PLANEJAMENTO ESTRATÉGICO, DEMANDA E CAPACIDADE
 - DIL01090 - PROJETO INTEGRADOR 2: CONCEPÇÃO E DESENVOLVIMENTO DE SERVIÇOS
 - e DIL01179 - PROJETO INTEGRADOR 1: DIAGNÓSTICO DO SETOR DE SERVIÇO DA REGIÃO
 - e DIL01231 - DEMANDA E CAPACIDADE EM SERVIÇOS</t>
  </si>
  <si>
    <t>DIL01229</t>
  </si>
  <si>
    <t>RELAÇÕES DE FORNECIMENTO E LOGÍSTICA
 - DIL01158 - ADMINISTRAÇÃO</t>
  </si>
  <si>
    <t>DIL01238</t>
  </si>
  <si>
    <t>CUSTEIO E PRECIFICAÇÃO
 - DIL01190 - ENGENHARIA ECONÔMICA</t>
  </si>
  <si>
    <t>DIL01236</t>
  </si>
  <si>
    <t>DESEMPENHO DAS EDIFICAÇÕES III: INSTALAÇÕES HIDROSSANITÁRIAS PREDIAIS
 - DIL01366 - TÉCNICAS DE CONSTRUÇÃO II</t>
  </si>
  <si>
    <t>DIL01241</t>
  </si>
  <si>
    <t>GESTÃO DA SEGURANÇA E SAÚDE NO TRABALHO - CLN</t>
  </si>
  <si>
    <t>DIL01069</t>
  </si>
  <si>
    <t>GEOMORFOLOGIA E AMBIENTES II
 - DIL01133 - GEOMORFOLOGIA E AMBIENTES A</t>
  </si>
  <si>
    <t>DIL01240</t>
  </si>
  <si>
    <t>GESTÃO DE PESSOAS - CLN
 - DIL01089 - FUNDAMENTOS E ORGANIZAÇÃO DE EMPRESAS DE SERVIÇOS</t>
  </si>
  <si>
    <t>DIL01247</t>
  </si>
  <si>
    <t>GESTÃO DE PROJETOS</t>
  </si>
  <si>
    <t>DIL01253</t>
  </si>
  <si>
    <t>INOVAÇÃO EM SERVIÇOS</t>
  </si>
  <si>
    <t>DIL01246</t>
  </si>
  <si>
    <t>PROJETO INTEGRADOR 4: INSTALAÇÕES FÍSICAS
 - DIL01091 - PROJETO INTEGRADOR 3: PLANEJAMENTO ESTRATÉGICO, DEMANDA E CAPACIDADE
 - e DIL01230 - ESTOQUES E FILAS EM SERVIÇOS
 - e DIL01245 - PLANEJAMENTO E LAYOUT DAS INSTALAÇÕES</t>
  </si>
  <si>
    <t>DIL01250</t>
  </si>
  <si>
    <t>SERVIÇOS SUSTENTÁVEIS</t>
  </si>
  <si>
    <t>DIL01242</t>
  </si>
  <si>
    <t>SISTEMAS DE INFORMAÇÃO - CLN
 - DIL01363 - ALGORITMOS E PROGRAMAÇÃO</t>
  </si>
  <si>
    <t>DIL01243</t>
  </si>
  <si>
    <t>DESEMPENHO DAS EDIFICAÇÕES IV: SUSTENTABILIDADE
 - DIL01228 - DESEMPENHO DAS EDIFICAÇÕES II: CLIMATIZAÇÃO E ACÚSTICA
 - e DIL01236 - DESEMPENHO DAS EDIFICAÇÕES III: INSTALAÇÕES HIDROSSANITÁRIAS PREDIAIS</t>
  </si>
  <si>
    <t>DIL01244</t>
  </si>
  <si>
    <t>GESTÃO DA CONSTRUÇÃO
 - DIL01366 - TÉCNICAS DE CONSTRUÇÃO II</t>
  </si>
  <si>
    <t>DIL01094</t>
  </si>
  <si>
    <t>GEOGRAFIA ECONÔMICA - CLN</t>
  </si>
  <si>
    <t>DIL01155</t>
  </si>
  <si>
    <t>INSTALAÇÕES ELÉTRICAS DE BAIXA TENSÃO
 - DIL01359 - FUNDAMENTOS DE ELETRICIDADE E APLICAÇÕES</t>
  </si>
  <si>
    <t>TRABALHO DE CAMPO INTEGRADO</t>
  </si>
  <si>
    <t>DIL01239</t>
  </si>
  <si>
    <t>PROJETO INTEGRADOR 5: VIABILIDADE ECONÔMICA
 - DIL01190 - ENGENHARIA ECONÔMICA</t>
  </si>
  <si>
    <t>DIL01256</t>
  </si>
  <si>
    <t>SERVIÇOS WEB E NUVENS
 - DIL01235 - PROGRAMAÇÃO APLICADA
 - e DIL01242 - SISTEMAS DE INFORMAÇÃO - CLN</t>
  </si>
  <si>
    <t>DIL01249</t>
  </si>
  <si>
    <t>SIMULAÇÃO DE OPERAÇÕES
 - DIL01235 - PROGRAMAÇÃO APLICADA</t>
  </si>
  <si>
    <t>CARTOGRAFIA TEMÁTICA E DIGITAL - A</t>
  </si>
  <si>
    <t>DIL01248</t>
  </si>
  <si>
    <t>SISTEMAS DE GARANTIA DA QUALIDADE - CLN
 - DIL01178 - QUALIDADE EM SERVIÇOS</t>
  </si>
  <si>
    <t>DIL01257</t>
  </si>
  <si>
    <t>TÓPICOS ESPECIAIS EM ENGENHARIA DE SERVIÇOS</t>
  </si>
  <si>
    <t>FUNDAMENTOS DE METEOROLOGIA E CLIMATOLOGIA A</t>
  </si>
  <si>
    <t>DIL01377</t>
  </si>
  <si>
    <t>DIL01095</t>
  </si>
  <si>
    <t>AVALIAÇÃO DE INFRAESTRUTURA CIVIL NA PRESTAÇÃO E OTIMIZAÇÃO DE SERVIÇOS</t>
  </si>
  <si>
    <t>GEOGRAFIA DA POPULAÇÃO</t>
  </si>
  <si>
    <t>ESTÁGIO CURRICULAR OBRIGATÓRIO PARA ENGENHARIA DE SERVIÇOS
 - Créditos Obrigatórios - 160</t>
  </si>
  <si>
    <t>GEOGRAFIA AGRÁRIA - A</t>
  </si>
  <si>
    <t>DIL01251</t>
  </si>
  <si>
    <t>OPERAÇÃO E MANUTENÇÃO DE INSTALAÇÕES
 - DIL01245 - PLANEJAMENTO E LAYOUT DAS INSTALAÇÕES
 - e DIL01246 - PROJETO INTEGRADOR 4: INSTALAÇÕES FÍSICAS</t>
  </si>
  <si>
    <t>GEOMORFOLOGIA E AMBIENTES II</t>
  </si>
  <si>
    <t>DIL01252</t>
  </si>
  <si>
    <t>DIL01096</t>
  </si>
  <si>
    <t>PROJETO INTEGRADOR 6: ANÁLISES DAS OPERAÇÕES
 - DIL01246 - PROJETO INTEGRADOR 4: INSTALAÇÕES FÍSICAS</t>
  </si>
  <si>
    <t>LABORATÓRIO DE DOCÊNCIA III: CURRÍCULO, DIDÁTICA E AVALIAÇÃO</t>
  </si>
  <si>
    <t>SENSORIAMENTO REMOTO - A</t>
  </si>
  <si>
    <t>DIR04016</t>
  </si>
  <si>
    <t>TOPICOS JURÍDICOS E SOCIAIS - EAD</t>
  </si>
  <si>
    <t>DIL01097</t>
  </si>
  <si>
    <t>EDUCAÇÃO PARA RELAÇÕES ÉTNICO-RACIAIS</t>
  </si>
  <si>
    <t>GEOGRAFIA URBANA A</t>
  </si>
  <si>
    <t>TRABALHO DE CONCLUSÃO DE CURSO DE ENGENHARIA DE SERVIÇOS
 - Créditos Obrigatórios - 208</t>
  </si>
  <si>
    <t>GEOPROCESSAMENTO B</t>
  </si>
  <si>
    <t>BIOGEOGRAFIA A</t>
  </si>
  <si>
    <t>GEOGRAFIA DO BRASIL A</t>
  </si>
  <si>
    <t>GEOGRAFIA POLÍTICA A
 - DIL01157 - ESCALAS DE ANÁLISE REGIONAL E TERRITORIAL</t>
  </si>
  <si>
    <t>DIL01369</t>
  </si>
  <si>
    <t>LABORATÓRIO DE DOCÊNCIA V: A GEOGRAFIA ESCOLAR</t>
  </si>
  <si>
    <t>DIL01368</t>
  </si>
  <si>
    <t>POLÍTICAS PÚBLICAS DA EDUCAÇÃO</t>
  </si>
  <si>
    <t>DIL01072</t>
  </si>
  <si>
    <t>CLIMATOLOGIA GEOGRÁFICA</t>
  </si>
  <si>
    <t>DIL01197</t>
  </si>
  <si>
    <t>EPISTEMOLOGIA DA GEOGRAFIA</t>
  </si>
  <si>
    <t>DIL01098</t>
  </si>
  <si>
    <t>GEOGRAFIA CULTURAL - CLN</t>
  </si>
  <si>
    <t>DIL01198</t>
  </si>
  <si>
    <t>GEOGRAFIA DA AMÉRICA LATINA</t>
  </si>
  <si>
    <t>DIL01372</t>
  </si>
  <si>
    <t>LABORATÓRIO DE DOCÊNCIA VI: A CARTOGRAFIA ESCOLAR</t>
  </si>
  <si>
    <t>DIL01371</t>
  </si>
  <si>
    <t>ESTÁGIO DE DOCÊNCIA EM GEOGRAFIA I: PREPARAÇÃO À DOCÊNCIA
 - DIL01067 - LABORATÓRIO DE DOCÊNCIA I: A PROFISSÃO DOCENTE
 - e DIL01096 - LABORATÓRIO DE DOCÊNCIA III: CURRÍCULO, DIDÁTICA E AVALIAÇÃO
 - e DIL01358 - LABORATÓRIO DE DOCÊNCIA II: O AMBIENTE ESCOLAR - A
 - e DIL01362 - LABORATÓRIO DE DOCÊNCIA IV: A GESTÃO ESCOLAR
 - e DIL01369 - LABORATÓRIO DE DOCÊNCIA V: A GEOGRAFIA ESCOLAR
 - e DIL01372 - LABORATÓRIO DE DOCÊNCIA VI: A CARTOGRAFIA ESCOLAR</t>
  </si>
  <si>
    <t>DIL01374</t>
  </si>
  <si>
    <t>LABORATÓRIO DE DOCÊNCIA VII: INSTRUMENTAÇÃO PARA O ENSINO DA GEOGRAFIA I</t>
  </si>
  <si>
    <t>DIL01203</t>
  </si>
  <si>
    <t>METODOLOGIA DA PESQUISA EM GEOGRAFIA
 - DIL01197 - EPISTEMOLOGIA DA GEOGRAFIA</t>
  </si>
  <si>
    <t>DIL01370</t>
  </si>
  <si>
    <t>REGIONALIZAÇÃO DO ESPAÇO MUNDIAL</t>
  </si>
  <si>
    <t>DIL01373</t>
  </si>
  <si>
    <t>ESTÁGIO DE DOCÊNCIA EM GEOGRAFIA II
 - DIL01371 - ESTÁGIO DE DOCÊNCIA EM GEOGRAFIA I: PREPARAÇÃO À DOCÊNCIA</t>
  </si>
  <si>
    <t>DIL01207</t>
  </si>
  <si>
    <t>GEOGRAFIA DO RIO GRANDE DO SUL</t>
  </si>
  <si>
    <t>DIL01376</t>
  </si>
  <si>
    <t>LABORATÓRIO DE DOCÊNCIA VIII: INSTRUMENTAÇÃO PARA O ENSINO DE GEOGRAFIA II</t>
  </si>
  <si>
    <t>DIL01099</t>
  </si>
  <si>
    <t>PRÁTICAS PEDAGÓGICAS INCLUSIVAS E O ENSINO DE GEOGRAFIA</t>
  </si>
  <si>
    <t>TRABALHO DE CONCLUSÃO DE CURSO LICENCIATURA EM GEOGRAFIA - CLN I
 - DIL01203 - METODOLOGIA DA PESQUISA EM GEOGRAFIA</t>
  </si>
  <si>
    <t>DIL01375</t>
  </si>
  <si>
    <t>ESTÁGIO DE DOCÊNCIA EM GEOGRAFIA III
 - DIL01371 - ESTÁGIO DE DOCÊNCIA EM GEOGRAFIA I: PREPARAÇÃO À DOCÊNCIA</t>
  </si>
  <si>
    <t>TRABALHO DE CONCLUSÃO DE CURSO LICENCIATURA EM GEOGRAFIA - CLN II
 - TRABALHO - TRABALHO DE CONCLUSÃO DE CURSO LICENCIATURA EM GEOGRAFIA - CLN I</t>
  </si>
  <si>
    <t>DIL01347</t>
  </si>
  <si>
    <t>ADMINISTRAÇÃO E GESTÃO AMBIENTAL - A</t>
  </si>
  <si>
    <t>DIL01061</t>
  </si>
  <si>
    <t>AGROECOLOGIA E ALIMENTOS TRADICIONAIS</t>
  </si>
  <si>
    <t>CIÊNCIAS DO AMBIENTE: ENERGIA E MEIO AMBIENTE</t>
  </si>
  <si>
    <t>CIRCUITOS ELÉTRICOS I</t>
  </si>
  <si>
    <t>CIRCUITOS ELÉTRICOS II</t>
  </si>
  <si>
    <t>DIL01220</t>
  </si>
  <si>
    <t>COOPERATIVISMO, ASSOCIATIVISMO E ECONOMIA SOLIDÁRIA</t>
  </si>
  <si>
    <t>DESEMPENHO DAS EDIFICAÇÕES I: ENERGIA
 - DIL01182 - MATERIAIS DE CONSTRUÇÃO</t>
  </si>
  <si>
    <t>DESENVOLVIMENTO REGIONAL
 - DIL01101 - MODELOS MATEMÁTICOS ELEMENTARES</t>
  </si>
  <si>
    <t>DIL01214</t>
  </si>
  <si>
    <t>DESENVOLVIMENTO REGIONAL E ORDENAMENTO ESPACIAL</t>
  </si>
  <si>
    <t>DIL01077</t>
  </si>
  <si>
    <t>DINÂMICA DO AMBIENTE COSTEIRO</t>
  </si>
  <si>
    <t>DIL01345</t>
  </si>
  <si>
    <t>EDUCAÇÃO AMBIENTAL - CBM</t>
  </si>
  <si>
    <t>DIL01055</t>
  </si>
  <si>
    <t>ELEMENTOS DE GEOLOGIA COSTEIRA E MARINHA</t>
  </si>
  <si>
    <t>ENGENHARIA ECONÔMICA
 - DIL01122 - CÁLCULO DIFERENCIAL E INTEGRAL II</t>
  </si>
  <si>
    <t>ESTRATÉGIA EM SERVIÇOS
 - DIL01184 - DESENVOLVIMENTO E PROTOTIPAGEM DE SERVIÇOS</t>
  </si>
  <si>
    <t>DIL01082</t>
  </si>
  <si>
    <t>ÉTICA E MEIO AMBIENTE</t>
  </si>
  <si>
    <t>DIL01211</t>
  </si>
  <si>
    <t>ETNODESENVOLVIMENTO E MEDIAÇÕES POLÍTICO-CULTURAIS</t>
  </si>
  <si>
    <t>FENÔMENOS DE TRANSPORTE A
 - DIL01135 - EQUAÇÕES DIFERENCIAIS
 - e DIL01136 - FÍSICA PARA ENGENHARIA III</t>
  </si>
  <si>
    <t>DIL01443</t>
  </si>
  <si>
    <t>GEOGRAFIA, GÊNERO E SEXUALIDADES</t>
  </si>
  <si>
    <t>DIL01221</t>
  </si>
  <si>
    <t>GERENCIAMENTO DE PROJETOS</t>
  </si>
  <si>
    <t>DIL01212</t>
  </si>
  <si>
    <t>GESTÃO AMBIENTAL - QUESTÃO AMBIENTAL: ESTRATÉGIAS, PROJETOS E POLÍTICAS</t>
  </si>
  <si>
    <t>DIL01297</t>
  </si>
  <si>
    <t>GESTÃO DE BACIAS HIDROGRÁFICAS</t>
  </si>
  <si>
    <t>DIL01213</t>
  </si>
  <si>
    <t>GOVERNANÇA, CIDADANIA E PARTICIPAÇÃO POPULAR</t>
  </si>
  <si>
    <t>DIL01313</t>
  </si>
  <si>
    <t>HISTÓRIA DA CIÊNCIA - CBM</t>
  </si>
  <si>
    <t>DIL01308</t>
  </si>
  <si>
    <t>HISTÓRIA E CULTURA DE COMUNIDADES COSTEIRAS</t>
  </si>
  <si>
    <t>LABORATÓRIO DE CIRCUITOS ELÉTRICOS I</t>
  </si>
  <si>
    <t>LABORATÓRIO DE FENÔMENOS DE TRANSPORTE - A
 - DIL01135 - EQUAÇÕES DIFERENCIAIS
 - e DIL01136 - FÍSICA PARA ENGENHARIA III</t>
  </si>
  <si>
    <t>DIL01341</t>
  </si>
  <si>
    <t>LEGISLAÇÃO AMBIENTAL - A</t>
  </si>
  <si>
    <t>DIL01333</t>
  </si>
  <si>
    <t>LIMNOLOGIA I</t>
  </si>
  <si>
    <t>DIL01299</t>
  </si>
  <si>
    <t>MONITORAMENTO AMBIENTAL LITORÂNEO</t>
  </si>
  <si>
    <t>DIL01217</t>
  </si>
  <si>
    <t>MOVIMENTOS SOCIAIS E AÇÃO COLETIVA</t>
  </si>
  <si>
    <t>DIL01331</t>
  </si>
  <si>
    <t>MUSEOLOGIA E A HISTÓRIA NATURAL</t>
  </si>
  <si>
    <t>DIL01227</t>
  </si>
  <si>
    <t>NATUREZA, SOCIEDADE E DESENVOLVIMENTO</t>
  </si>
  <si>
    <t>DIL01317</t>
  </si>
  <si>
    <t>OCEANOGRAFIA I</t>
  </si>
  <si>
    <t>DIL01301</t>
  </si>
  <si>
    <t>OCEANOS, CLIMA E DINÂMICA COSTEIRA</t>
  </si>
  <si>
    <t>DIL01183</t>
  </si>
  <si>
    <t>ORGANIZAÇÃO DE EMPRESAS DE SERVIÇOS
 - DIL01158 - ADMINISTRAÇÃO</t>
  </si>
  <si>
    <t>DIL01210</t>
  </si>
  <si>
    <t>PENSAMENTO SOCIAL BRASILEIRO</t>
  </si>
  <si>
    <t>DIL01215</t>
  </si>
  <si>
    <t>PESQUISA QUALITATIVA I</t>
  </si>
  <si>
    <t>DIL01222</t>
  </si>
  <si>
    <t>PESQUISA QUALITATIVA II</t>
  </si>
  <si>
    <t>DIL01216</t>
  </si>
  <si>
    <t>PESQUISA QUANTITATIVA I</t>
  </si>
  <si>
    <t>DIL01223</t>
  </si>
  <si>
    <t>PESQUISA QUANTITATIVA II</t>
  </si>
  <si>
    <t>DIL01225</t>
  </si>
  <si>
    <t>PLANEJAMENTO E ELABORAÇÃO DE PROJETOS PARA O DESENVOLVIMENTO REGIONAL</t>
  </si>
  <si>
    <t>DIL01085</t>
  </si>
  <si>
    <t>PLANEJAMENTO, ELABORAÇÃO E GERENCIAMENTO DE PROJETOS PARA O DESENVOLVIMENTO REGIONAL</t>
  </si>
  <si>
    <t>DIL01342</t>
  </si>
  <si>
    <t>POLUIÇÃO COSTEIRA E MARINHA - A</t>
  </si>
  <si>
    <t>DIL01181</t>
  </si>
  <si>
    <t>PROJETO INTEGRADOR 2: CONCEPÇÃO DO SERVIÇO E PLANO DE NEGÓCIOS
 - DIL01179 - PROJETO INTEGRADOR 1: DIAGNÓSTICO DO SETOR DE SERVIÇO DA REGIÃO</t>
  </si>
  <si>
    <t>DIL01185</t>
  </si>
  <si>
    <t>PROJETO INTEGRADOR 3: DESENVOLVIMENTO DE SERVIÇOS
 - DIL01181 - PROJETO INTEGRADOR 2: CONCEPÇÃO DO SERVIÇO E PLANO DE NEGÓCIOS</t>
  </si>
  <si>
    <t>DIL01189</t>
  </si>
  <si>
    <t>PROJETO INTEGRADOR 4: PLANEJAMENTO ESTRATÉGICO
 - DIL01185 - PROJETO INTEGRADOR 3: DESENVOLVIMENTO DE SERVIÇOS</t>
  </si>
  <si>
    <t>DESENVOLVIMENTO REGIONAL
 - DIL01120 - TEORIAS DO DESENVOLVIMENTO</t>
  </si>
  <si>
    <t>QUALIDADE EM SERVIÇOS</t>
  </si>
  <si>
    <t>DIL01287</t>
  </si>
  <si>
    <t>RECURSOS MINERAIS E ENERGÉTICOS COSTEIROS</t>
  </si>
  <si>
    <t>DIL01076</t>
  </si>
  <si>
    <t>SENSORIAMENTO REMOTO APLICADO À GEOLOGIA MARINHA E COSTEIRA - A</t>
  </si>
  <si>
    <t>TÉCNICAS DE CONSTRUÇÃO - I
 - DIL01182 - MATERIAIS DE CONSTRUÇÃO</t>
  </si>
  <si>
    <t>DIL01060</t>
  </si>
  <si>
    <t>TEORIAS, ESTRATÉGIAS E PRÁTICAS EM METODOLOGIAS PARTICIPATIVAS</t>
  </si>
  <si>
    <t>DIL01100</t>
  </si>
  <si>
    <t>TERRITÓRIO E TRIBUTAÇÃO</t>
  </si>
  <si>
    <t>DIL01075</t>
  </si>
  <si>
    <t>TOPOGRAFIA APLICADA À MORFOLOGIA COSTEIRA</t>
  </si>
  <si>
    <t>VAERE201</t>
  </si>
  <si>
    <t>VÍNCULO ACADÊMICO - ERE 2020/1</t>
  </si>
  <si>
    <t>VAERE202</t>
  </si>
  <si>
    <t>VÍNCULO ACADÊMICO - ERE 2020/2</t>
  </si>
  <si>
    <t>VAERE211</t>
  </si>
  <si>
    <t>VÍNCULO ACADÊMICO - ERE 2021/1</t>
  </si>
  <si>
    <t>VAERE212</t>
  </si>
  <si>
    <t>VÍNCULO ACADÊMICO - ERE 2021/2</t>
  </si>
  <si>
    <t>GESTÃO DE PESSOAS - CLN</t>
  </si>
  <si>
    <t>PENSAMENTO SOCIAL BRASILEIRO
 - DIL01118 - INTRODUÇÃO AO PENSAMENTO SOCIAL</t>
  </si>
  <si>
    <t>PESQUISA QUANTITATIVA I
 - DIL01112 - ESTATÍSTICA I</t>
  </si>
  <si>
    <t>PESQUISA QUALITATIVA II
 - DIL01215 - PESQUISA QUALITATIVA I</t>
  </si>
  <si>
    <t>PESQUISA QUANTITATIVA II
 - DIL01216 - PESQUISA QUANTITATIVA I</t>
  </si>
  <si>
    <t>PROJETO DE TRABALHO DE CONCLUSÃO DE CURSO (TCC) - DR
 - Créditos Obrigatórios - 140</t>
  </si>
  <si>
    <t>ESTÁGIO OBRIGATÓRIO - DR
 - Créditos Obrigatórios - 140</t>
  </si>
  <si>
    <t>TRABALHO DE CONCLUSÃO DE CURSO (TCC) - DR
 - TRABALHO - PROJETO DE TRABALHO DE CONCLUSÃO DE CURSO (TCC) - DR</t>
  </si>
  <si>
    <t>Sem Etapa</t>
  </si>
  <si>
    <t>HIDROGRAFIA E OCEANOGRAFIA A
 - DIL01133 - GEOMORFOLOGIA E AMBIENTES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</si>
</sst>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CC4125"/>
        <bgColor rgb="FFCC4125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shrinkToFit="0" vertical="bottom" wrapText="1"/>
    </xf>
    <xf borderId="0" fillId="3" fontId="1" numFmtId="0" xfId="0" applyFill="1" applyFont="1"/>
    <xf borderId="0" fillId="0" fontId="1" numFmtId="0" xfId="0" applyFont="1"/>
    <xf borderId="0" fillId="4" fontId="1" numFmtId="0" xfId="0" applyFill="1" applyFont="1"/>
    <xf borderId="0" fillId="0" fontId="3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5" fontId="3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7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8" fontId="3" numFmtId="0" xfId="0" applyAlignment="1" applyFill="1" applyFont="1">
      <alignment vertical="bottom"/>
    </xf>
    <xf borderId="0" fillId="3" fontId="1" numFmtId="0" xfId="0" applyAlignment="1" applyFill="1" applyFont="1">
      <alignment readingOrder="0"/>
    </xf>
    <xf borderId="0" fillId="9" fontId="3" numFmtId="0" xfId="0" applyAlignment="1" applyFill="1" applyFont="1">
      <alignment vertical="bottom"/>
    </xf>
    <xf borderId="0" fillId="3" fontId="1" numFmtId="0" xfId="0" applyAlignment="1" applyFill="1" applyFont="1">
      <alignment shrinkToFit="0" wrapText="1"/>
    </xf>
    <xf borderId="0" fillId="0" fontId="5" numFmtId="0" xfId="0" applyFont="1"/>
    <xf borderId="0" fillId="0" fontId="5" numFmtId="0" xfId="0" applyFont="1"/>
    <xf borderId="0" fillId="2" fontId="5" numFmtId="0" xfId="0" applyFill="1" applyFont="1"/>
    <xf borderId="0" fillId="3" fontId="5" numFmtId="0" xfId="0" applyFill="1" applyFont="1"/>
    <xf borderId="0" fillId="4" fontId="1" numFmtId="0" xfId="0" applyFill="1" applyFont="1"/>
    <xf borderId="0" fillId="5" fontId="3" numFmtId="0" xfId="0" applyAlignment="1" applyFill="1" applyFont="1">
      <alignment vertical="bottom"/>
    </xf>
    <xf borderId="0" fillId="3" fontId="5" numFmtId="0" xfId="0" applyAlignment="1" applyFill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10" fontId="1" numFmtId="0" xfId="0" applyFill="1" applyFont="1"/>
    <xf borderId="0" fillId="10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0"/>
    <col customWidth="1" min="10" max="10" width="27.13"/>
    <col customWidth="1" min="11" max="11" width="30.63"/>
    <col customWidth="1" min="12" max="14" width="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10</v>
      </c>
      <c r="K1" s="4" t="s">
        <v>11</v>
      </c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21" t="s">
        <v>14</v>
      </c>
      <c r="B2" s="21" t="s">
        <v>31</v>
      </c>
      <c r="C2" s="21" t="s">
        <v>34</v>
      </c>
      <c r="D2" s="21">
        <v>4.0</v>
      </c>
      <c r="E2" s="21">
        <v>60.0</v>
      </c>
      <c r="F2" s="21">
        <v>6.0</v>
      </c>
      <c r="G2" s="22" t="s">
        <v>13</v>
      </c>
      <c r="H2" s="23" t="s">
        <v>39</v>
      </c>
      <c r="I2" s="23"/>
      <c r="J2" s="23" t="str">
        <f t="shared" ref="J2:J101" si="1">IF(I2&gt;0,MID(B2,FIND(CHAR(10),B2),999),"")</f>
        <v/>
      </c>
      <c r="K2" s="23" t="str">
        <f t="shared" ref="K2:K101" si="2">substitute(B2,J2,"")</f>
        <v>DINÂMICAS E CONCEITOS DO ESPAÇO TEMPORAL E SOCIAL - A</v>
      </c>
    </row>
    <row r="3">
      <c r="A3" s="21" t="s">
        <v>17</v>
      </c>
      <c r="B3" s="21" t="s">
        <v>66</v>
      </c>
      <c r="C3" s="21" t="s">
        <v>34</v>
      </c>
      <c r="D3" s="21">
        <v>4.0</v>
      </c>
      <c r="E3" s="21">
        <v>60.0</v>
      </c>
      <c r="F3" s="21">
        <v>0.0</v>
      </c>
      <c r="G3" s="22" t="s">
        <v>16</v>
      </c>
      <c r="H3" s="23" t="s">
        <v>39</v>
      </c>
      <c r="I3" s="23"/>
      <c r="J3" s="23" t="str">
        <f t="shared" si="1"/>
        <v/>
      </c>
      <c r="K3" s="23" t="str">
        <f t="shared" si="2"/>
        <v>INTRODUÇÃO À DINÂMICA E AOS PROCESSOS DA NATUREZA - B</v>
      </c>
    </row>
    <row r="4">
      <c r="A4" s="21" t="s">
        <v>72</v>
      </c>
      <c r="B4" s="21" t="s">
        <v>73</v>
      </c>
      <c r="C4" s="21" t="s">
        <v>34</v>
      </c>
      <c r="D4" s="21">
        <v>2.0</v>
      </c>
      <c r="E4" s="21">
        <v>30.0</v>
      </c>
      <c r="F4" s="21">
        <v>0.0</v>
      </c>
      <c r="G4" s="22" t="s">
        <v>19</v>
      </c>
      <c r="H4" s="23" t="s">
        <v>39</v>
      </c>
      <c r="I4" s="23"/>
      <c r="J4" s="23" t="str">
        <f t="shared" si="1"/>
        <v/>
      </c>
      <c r="K4" s="23" t="str">
        <f t="shared" si="2"/>
        <v>INTRODUÇÃO À TECNOLOGIA DA INFORMAÇÃO E COMUNICAÇÃO</v>
      </c>
    </row>
    <row r="5">
      <c r="A5" s="21" t="s">
        <v>77</v>
      </c>
      <c r="B5" s="21" t="s">
        <v>78</v>
      </c>
      <c r="C5" s="21" t="s">
        <v>34</v>
      </c>
      <c r="D5" s="21">
        <v>4.0</v>
      </c>
      <c r="E5" s="21">
        <v>60.0</v>
      </c>
      <c r="F5" s="21">
        <v>0.0</v>
      </c>
      <c r="G5" s="22" t="s">
        <v>16</v>
      </c>
      <c r="H5" s="23" t="s">
        <v>39</v>
      </c>
      <c r="I5" s="23"/>
      <c r="J5" s="23" t="str">
        <f t="shared" si="1"/>
        <v/>
      </c>
      <c r="K5" s="23" t="str">
        <f t="shared" si="2"/>
        <v>LEITURA E PRODUÇÃO TEXTUAL - A</v>
      </c>
    </row>
    <row r="6">
      <c r="A6" s="21" t="s">
        <v>82</v>
      </c>
      <c r="B6" s="21" t="s">
        <v>83</v>
      </c>
      <c r="C6" s="21" t="s">
        <v>34</v>
      </c>
      <c r="D6" s="21">
        <v>4.0</v>
      </c>
      <c r="E6" s="21">
        <v>60.0</v>
      </c>
      <c r="F6" s="21">
        <v>0.0</v>
      </c>
      <c r="G6" s="22" t="s">
        <v>25</v>
      </c>
      <c r="H6" s="23" t="s">
        <v>39</v>
      </c>
      <c r="I6" s="23"/>
      <c r="J6" s="23" t="str">
        <f t="shared" si="1"/>
        <v/>
      </c>
      <c r="K6" s="23" t="str">
        <f t="shared" si="2"/>
        <v>MODELOS MATEMÁTICOS ELEMENTARES</v>
      </c>
      <c r="P6" s="28" t="s">
        <v>89</v>
      </c>
    </row>
    <row r="7">
      <c r="A7" s="21" t="s">
        <v>92</v>
      </c>
      <c r="B7" s="21" t="s">
        <v>93</v>
      </c>
      <c r="C7" s="21" t="s">
        <v>34</v>
      </c>
      <c r="D7" s="21">
        <v>2.0</v>
      </c>
      <c r="E7" s="21">
        <v>30.0</v>
      </c>
      <c r="F7" s="21">
        <v>0.0</v>
      </c>
      <c r="G7" s="22" t="s">
        <v>16</v>
      </c>
      <c r="H7" s="23" t="s">
        <v>39</v>
      </c>
      <c r="I7" s="23"/>
      <c r="J7" s="23" t="str">
        <f t="shared" si="1"/>
        <v/>
      </c>
      <c r="K7" s="23" t="str">
        <f t="shared" si="2"/>
        <v>SEMINÁRIOS INTERDISCIPLINARES</v>
      </c>
    </row>
    <row r="8">
      <c r="A8" s="21" t="s">
        <v>98</v>
      </c>
      <c r="B8" s="21" t="s">
        <v>99</v>
      </c>
      <c r="C8" s="21" t="s">
        <v>97</v>
      </c>
      <c r="D8" s="21">
        <v>4.0</v>
      </c>
      <c r="E8" s="21">
        <v>60.0</v>
      </c>
      <c r="F8" s="21">
        <v>0.0</v>
      </c>
      <c r="G8" s="22" t="s">
        <v>16</v>
      </c>
      <c r="H8" s="23" t="s">
        <v>101</v>
      </c>
      <c r="I8" s="23"/>
      <c r="J8" s="23" t="str">
        <f t="shared" si="1"/>
        <v/>
      </c>
      <c r="K8" s="23" t="str">
        <f t="shared" si="2"/>
        <v>ADMINISTRAÇÃO</v>
      </c>
    </row>
    <row r="9">
      <c r="A9" s="21" t="s">
        <v>103</v>
      </c>
      <c r="B9" s="21" t="s">
        <v>104</v>
      </c>
      <c r="C9" s="21" t="s">
        <v>97</v>
      </c>
      <c r="D9" s="21">
        <v>4.0</v>
      </c>
      <c r="E9" s="21">
        <v>60.0</v>
      </c>
      <c r="F9" s="21">
        <v>0.0</v>
      </c>
      <c r="G9" s="22" t="s">
        <v>25</v>
      </c>
      <c r="H9" s="23" t="s">
        <v>101</v>
      </c>
      <c r="I9" s="23">
        <f t="shared" ref="I9:I101" si="3">len(B9)-len(substitute(B9,char(10),""))</f>
        <v>1</v>
      </c>
      <c r="J9" s="23" t="str">
        <f t="shared" si="1"/>
        <v>
 - DIL01101 - MODELOS MATEMÁTICOS ELEMENTARES</v>
      </c>
      <c r="K9" s="23" t="str">
        <f t="shared" si="2"/>
        <v>CÁLCULO DIFERENCIAL E INTEGRAL I</v>
      </c>
    </row>
    <row r="10">
      <c r="A10" s="21" t="s">
        <v>121</v>
      </c>
      <c r="B10" s="21" t="s">
        <v>122</v>
      </c>
      <c r="C10" s="21" t="s">
        <v>97</v>
      </c>
      <c r="D10" s="21">
        <v>4.0</v>
      </c>
      <c r="E10" s="21">
        <v>60.0</v>
      </c>
      <c r="F10" s="21">
        <v>40.0</v>
      </c>
      <c r="G10" s="21" t="s">
        <v>16</v>
      </c>
      <c r="H10" s="23" t="s">
        <v>101</v>
      </c>
      <c r="I10" s="23">
        <f t="shared" si="3"/>
        <v>0</v>
      </c>
      <c r="J10" s="23" t="str">
        <f t="shared" si="1"/>
        <v/>
      </c>
      <c r="K10" s="23" t="str">
        <f t="shared" si="2"/>
        <v>ENCONTRO DE SABERES - COMUNIDADES LITORÂNEAS</v>
      </c>
    </row>
    <row r="11">
      <c r="A11" s="21" t="s">
        <v>108</v>
      </c>
      <c r="B11" s="21" t="s">
        <v>109</v>
      </c>
      <c r="C11" s="21" t="s">
        <v>97</v>
      </c>
      <c r="D11" s="21">
        <v>4.0</v>
      </c>
      <c r="E11" s="21">
        <v>60.0</v>
      </c>
      <c r="F11" s="21">
        <v>0.0</v>
      </c>
      <c r="G11" s="22" t="s">
        <v>25</v>
      </c>
      <c r="H11" s="23" t="s">
        <v>101</v>
      </c>
      <c r="I11" s="23">
        <f t="shared" si="3"/>
        <v>1</v>
      </c>
      <c r="J11" s="23" t="str">
        <f t="shared" si="1"/>
        <v>
 - DIL01101 - MODELOS MATEMÁTICOS ELEMENTARES</v>
      </c>
      <c r="K11" s="23" t="str">
        <f t="shared" si="2"/>
        <v>ESTATÍSTICA I</v>
      </c>
    </row>
    <row r="12">
      <c r="A12" s="21" t="s">
        <v>112</v>
      </c>
      <c r="B12" s="21" t="s">
        <v>113</v>
      </c>
      <c r="C12" s="21" t="s">
        <v>97</v>
      </c>
      <c r="D12" s="21">
        <v>4.0</v>
      </c>
      <c r="E12" s="21">
        <v>60.0</v>
      </c>
      <c r="F12" s="21">
        <v>0.0</v>
      </c>
      <c r="G12" s="22" t="s">
        <v>25</v>
      </c>
      <c r="H12" s="23" t="s">
        <v>101</v>
      </c>
      <c r="I12" s="23">
        <f t="shared" si="3"/>
        <v>1</v>
      </c>
      <c r="J12" s="23" t="str">
        <f t="shared" si="1"/>
        <v>
 - DIL01101 - MODELOS MATEMÁTICOS ELEMENTARES</v>
      </c>
      <c r="K12" s="23" t="str">
        <f t="shared" si="2"/>
        <v>FÍSICA PARA ENGENHARIA I</v>
      </c>
    </row>
    <row r="13">
      <c r="A13" s="21" t="s">
        <v>140</v>
      </c>
      <c r="B13" s="21" t="s">
        <v>141</v>
      </c>
      <c r="C13" s="21" t="s">
        <v>97</v>
      </c>
      <c r="D13" s="21">
        <v>2.0</v>
      </c>
      <c r="E13" s="21">
        <v>30.0</v>
      </c>
      <c r="F13" s="21">
        <v>0.0</v>
      </c>
      <c r="G13" s="22" t="s">
        <v>16</v>
      </c>
      <c r="H13" s="23" t="s">
        <v>101</v>
      </c>
      <c r="I13" s="23">
        <f t="shared" si="3"/>
        <v>0</v>
      </c>
      <c r="J13" s="23" t="str">
        <f t="shared" si="1"/>
        <v/>
      </c>
      <c r="K13" s="23" t="str">
        <f t="shared" si="2"/>
        <v>FUNDAMENTOS DE ECOLOGIA - CBM</v>
      </c>
    </row>
    <row r="14">
      <c r="A14" s="21" t="s">
        <v>147</v>
      </c>
      <c r="B14" s="21" t="s">
        <v>149</v>
      </c>
      <c r="C14" s="21" t="s">
        <v>97</v>
      </c>
      <c r="D14" s="21">
        <v>4.0</v>
      </c>
      <c r="E14" s="21">
        <v>60.0</v>
      </c>
      <c r="F14" s="21">
        <v>0.0</v>
      </c>
      <c r="G14" s="22" t="s">
        <v>25</v>
      </c>
      <c r="H14" s="23" t="s">
        <v>101</v>
      </c>
      <c r="I14" s="23">
        <f t="shared" si="3"/>
        <v>0</v>
      </c>
      <c r="J14" s="23" t="str">
        <f t="shared" si="1"/>
        <v/>
      </c>
      <c r="K14" s="23" t="str">
        <f t="shared" si="2"/>
        <v>FUNDAMENTOS DE FÍSICA</v>
      </c>
    </row>
    <row r="15">
      <c r="A15" s="21" t="s">
        <v>117</v>
      </c>
      <c r="B15" s="21" t="s">
        <v>118</v>
      </c>
      <c r="C15" s="21" t="s">
        <v>97</v>
      </c>
      <c r="D15" s="21">
        <v>2.0</v>
      </c>
      <c r="E15" s="21">
        <v>30.0</v>
      </c>
      <c r="F15" s="21">
        <v>0.0</v>
      </c>
      <c r="G15" s="22" t="s">
        <v>19</v>
      </c>
      <c r="H15" s="23" t="s">
        <v>101</v>
      </c>
      <c r="I15" s="23">
        <f t="shared" si="3"/>
        <v>0</v>
      </c>
      <c r="J15" s="23" t="str">
        <f t="shared" si="1"/>
        <v/>
      </c>
      <c r="K15" s="23" t="str">
        <f t="shared" si="2"/>
        <v>FUNDAMENTOS DE GESTÃO DE RECURSOS ENERGÉTICOS</v>
      </c>
    </row>
    <row r="16">
      <c r="A16" s="21" t="s">
        <v>123</v>
      </c>
      <c r="B16" s="21" t="s">
        <v>124</v>
      </c>
      <c r="C16" s="21" t="s">
        <v>97</v>
      </c>
      <c r="D16" s="21">
        <v>3.0</v>
      </c>
      <c r="E16" s="21">
        <v>45.0</v>
      </c>
      <c r="F16" s="21">
        <v>0.0</v>
      </c>
      <c r="G16" s="22" t="s">
        <v>25</v>
      </c>
      <c r="H16" s="23" t="s">
        <v>101</v>
      </c>
      <c r="I16" s="23">
        <f t="shared" si="3"/>
        <v>0</v>
      </c>
      <c r="J16" s="23" t="str">
        <f t="shared" si="1"/>
        <v/>
      </c>
      <c r="K16" s="23" t="str">
        <f t="shared" si="2"/>
        <v>GEOLOGIA E RECURSOS MINERAIS PARA ENGENHARIA</v>
      </c>
    </row>
    <row r="17">
      <c r="A17" s="21" t="s">
        <v>170</v>
      </c>
      <c r="B17" s="21" t="s">
        <v>171</v>
      </c>
      <c r="C17" s="21" t="s">
        <v>97</v>
      </c>
      <c r="D17" s="21">
        <v>6.0</v>
      </c>
      <c r="E17" s="21">
        <v>90.0</v>
      </c>
      <c r="F17" s="21">
        <v>0.0</v>
      </c>
      <c r="G17" s="22" t="s">
        <v>25</v>
      </c>
      <c r="H17" s="23" t="s">
        <v>101</v>
      </c>
      <c r="I17" s="23">
        <f t="shared" si="3"/>
        <v>0</v>
      </c>
      <c r="J17" s="23" t="str">
        <f t="shared" si="1"/>
        <v/>
      </c>
      <c r="K17" s="23" t="str">
        <f t="shared" si="2"/>
        <v>GEOLOGIA GERAL</v>
      </c>
    </row>
    <row r="18">
      <c r="A18" s="21" t="s">
        <v>177</v>
      </c>
      <c r="B18" s="21" t="s">
        <v>178</v>
      </c>
      <c r="C18" s="21" t="s">
        <v>97</v>
      </c>
      <c r="D18" s="21">
        <v>4.0</v>
      </c>
      <c r="E18" s="21">
        <v>60.0</v>
      </c>
      <c r="F18" s="21">
        <v>0.0</v>
      </c>
      <c r="G18" s="22" t="s">
        <v>13</v>
      </c>
      <c r="H18" s="23" t="s">
        <v>101</v>
      </c>
      <c r="I18" s="23">
        <f t="shared" si="3"/>
        <v>0</v>
      </c>
      <c r="J18" s="23" t="str">
        <f t="shared" si="1"/>
        <v/>
      </c>
      <c r="K18" s="23" t="str">
        <f t="shared" si="2"/>
        <v>HISTÓRIA E FUNDAMENTOS DA GEOGRAFIA - A</v>
      </c>
    </row>
    <row r="19">
      <c r="A19" s="21" t="s">
        <v>187</v>
      </c>
      <c r="B19" s="21" t="s">
        <v>188</v>
      </c>
      <c r="C19" s="21" t="s">
        <v>97</v>
      </c>
      <c r="D19" s="21">
        <v>2.0</v>
      </c>
      <c r="E19" s="21">
        <v>30.0</v>
      </c>
      <c r="F19" s="21">
        <v>30.0</v>
      </c>
      <c r="G19" s="21" t="s">
        <v>16</v>
      </c>
      <c r="H19" s="23" t="s">
        <v>101</v>
      </c>
      <c r="I19" s="23">
        <f t="shared" si="3"/>
        <v>0</v>
      </c>
      <c r="J19" s="23" t="str">
        <f t="shared" si="1"/>
        <v/>
      </c>
      <c r="K19" s="23" t="str">
        <f t="shared" si="2"/>
        <v>HORTAS PEDAGÓGICAS: SABERES E PRÁTICAS</v>
      </c>
    </row>
    <row r="20">
      <c r="A20" s="21" t="s">
        <v>126</v>
      </c>
      <c r="B20" s="21" t="s">
        <v>127</v>
      </c>
      <c r="C20" s="21" t="s">
        <v>97</v>
      </c>
      <c r="D20" s="21">
        <v>4.0</v>
      </c>
      <c r="E20" s="21">
        <v>60.0</v>
      </c>
      <c r="F20" s="21">
        <v>0.0</v>
      </c>
      <c r="G20" s="22" t="s">
        <v>25</v>
      </c>
      <c r="H20" s="23" t="s">
        <v>101</v>
      </c>
      <c r="I20" s="23">
        <f t="shared" si="3"/>
        <v>1</v>
      </c>
      <c r="J20" s="23" t="str">
        <f t="shared" si="1"/>
        <v>
 - DIL01101 - MODELOS MATEMÁTICOS ELEMENTARES</v>
      </c>
      <c r="K20" s="23" t="str">
        <f t="shared" si="2"/>
        <v>INTRODUÇÃO À ÁLGEBRA LINEAR</v>
      </c>
    </row>
    <row r="21">
      <c r="A21" s="21" t="s">
        <v>131</v>
      </c>
      <c r="B21" s="21" t="s">
        <v>132</v>
      </c>
      <c r="C21" s="21" t="s">
        <v>97</v>
      </c>
      <c r="D21" s="21">
        <v>2.0</v>
      </c>
      <c r="E21" s="21">
        <v>30.0</v>
      </c>
      <c r="F21" s="21">
        <v>0.0</v>
      </c>
      <c r="G21" s="22" t="s">
        <v>13</v>
      </c>
      <c r="H21" s="23" t="s">
        <v>101</v>
      </c>
      <c r="I21" s="23">
        <f t="shared" si="3"/>
        <v>0</v>
      </c>
      <c r="J21" s="23" t="str">
        <f t="shared" si="1"/>
        <v/>
      </c>
      <c r="K21" s="23" t="str">
        <f t="shared" si="2"/>
        <v>INTRODUÇÃO À PSICOLOGIA DO DESENVOLVIMENTO E DA APRENDIZAGEM</v>
      </c>
    </row>
    <row r="22">
      <c r="A22" s="21" t="s">
        <v>135</v>
      </c>
      <c r="B22" s="21" t="s">
        <v>137</v>
      </c>
      <c r="C22" s="21" t="s">
        <v>97</v>
      </c>
      <c r="D22" s="21">
        <v>4.0</v>
      </c>
      <c r="E22" s="21">
        <v>60.0</v>
      </c>
      <c r="F22" s="21">
        <v>6.0</v>
      </c>
      <c r="G22" s="22" t="s">
        <v>13</v>
      </c>
      <c r="H22" s="23" t="s">
        <v>101</v>
      </c>
      <c r="I22" s="23">
        <f t="shared" si="3"/>
        <v>0</v>
      </c>
      <c r="J22" s="23" t="str">
        <f t="shared" si="1"/>
        <v/>
      </c>
      <c r="K22" s="23" t="str">
        <f t="shared" si="2"/>
        <v>INTRODUÇÃO AO PENSAMENTO SOCIAL</v>
      </c>
    </row>
    <row r="23">
      <c r="A23" s="21" t="s">
        <v>211</v>
      </c>
      <c r="B23" s="21" t="s">
        <v>212</v>
      </c>
      <c r="C23" s="21" t="s">
        <v>97</v>
      </c>
      <c r="D23" s="21">
        <v>2.0</v>
      </c>
      <c r="E23" s="21">
        <v>30.0</v>
      </c>
      <c r="F23" s="21">
        <v>0.0</v>
      </c>
      <c r="G23" s="22" t="s">
        <v>13</v>
      </c>
      <c r="H23" s="23" t="s">
        <v>101</v>
      </c>
      <c r="I23" s="23">
        <f t="shared" si="3"/>
        <v>0</v>
      </c>
      <c r="J23" s="23" t="str">
        <f t="shared" si="1"/>
        <v/>
      </c>
      <c r="K23" s="23" t="str">
        <f t="shared" si="2"/>
        <v>LABORATÓRIO DE DOCÊNCIA I: A PROFISSÃO DOCENTE</v>
      </c>
    </row>
    <row r="24">
      <c r="A24" s="21" t="s">
        <v>142</v>
      </c>
      <c r="B24" s="21" t="s">
        <v>144</v>
      </c>
      <c r="C24" s="21" t="s">
        <v>97</v>
      </c>
      <c r="D24" s="21">
        <v>2.0</v>
      </c>
      <c r="E24" s="21">
        <v>30.0</v>
      </c>
      <c r="F24" s="21">
        <v>0.0</v>
      </c>
      <c r="G24" s="22" t="s">
        <v>25</v>
      </c>
      <c r="H24" s="23" t="s">
        <v>101</v>
      </c>
      <c r="I24" s="23">
        <f t="shared" si="3"/>
        <v>1</v>
      </c>
      <c r="J24" s="23" t="str">
        <f t="shared" si="1"/>
        <v>
 - DIL01101 - MODELOS MATEMÁTICOS ELEMENTARES</v>
      </c>
      <c r="K24" s="23" t="str">
        <f t="shared" si="2"/>
        <v>LABORATÓRIO DE FÍSICA PARA ENGENHARIA I</v>
      </c>
    </row>
    <row r="25">
      <c r="A25" s="21" t="s">
        <v>23</v>
      </c>
      <c r="B25" s="21" t="s">
        <v>223</v>
      </c>
      <c r="C25" s="21" t="s">
        <v>34</v>
      </c>
      <c r="D25" s="21">
        <v>4.0</v>
      </c>
      <c r="E25" s="21">
        <v>60.0</v>
      </c>
      <c r="F25" s="21">
        <v>0.0</v>
      </c>
      <c r="G25" s="22" t="s">
        <v>16</v>
      </c>
      <c r="H25" s="23" t="s">
        <v>101</v>
      </c>
      <c r="I25" s="23">
        <f t="shared" si="3"/>
        <v>0</v>
      </c>
      <c r="J25" s="23" t="str">
        <f t="shared" si="1"/>
        <v/>
      </c>
      <c r="K25" s="23" t="str">
        <f t="shared" si="2"/>
        <v>METODOLOGIA DA CIÊNCIA - A</v>
      </c>
    </row>
    <row r="26">
      <c r="A26" s="21" t="s">
        <v>148</v>
      </c>
      <c r="B26" s="21" t="s">
        <v>150</v>
      </c>
      <c r="C26" s="21" t="s">
        <v>97</v>
      </c>
      <c r="D26" s="21">
        <v>4.0</v>
      </c>
      <c r="E26" s="21">
        <v>60.0</v>
      </c>
      <c r="F26" s="21">
        <v>15.0</v>
      </c>
      <c r="G26" s="22" t="s">
        <v>19</v>
      </c>
      <c r="H26" s="23" t="s">
        <v>101</v>
      </c>
      <c r="I26" s="23">
        <f t="shared" si="3"/>
        <v>0</v>
      </c>
      <c r="J26" s="23" t="str">
        <f t="shared" si="1"/>
        <v/>
      </c>
      <c r="K26" s="23" t="str">
        <f t="shared" si="2"/>
        <v>PRINCÍPIOS DE CARTOGRAFIA E AEROFOTOGEOGRAFIA</v>
      </c>
    </row>
    <row r="27">
      <c r="A27" s="21" t="s">
        <v>154</v>
      </c>
      <c r="B27" s="21" t="s">
        <v>155</v>
      </c>
      <c r="C27" s="21" t="s">
        <v>97</v>
      </c>
      <c r="D27" s="21">
        <v>4.0</v>
      </c>
      <c r="E27" s="21">
        <v>60.0</v>
      </c>
      <c r="F27" s="21">
        <v>6.0</v>
      </c>
      <c r="G27" s="22" t="s">
        <v>13</v>
      </c>
      <c r="H27" s="23" t="s">
        <v>101</v>
      </c>
      <c r="I27" s="23">
        <f t="shared" si="3"/>
        <v>0</v>
      </c>
      <c r="J27" s="23" t="str">
        <f t="shared" si="1"/>
        <v/>
      </c>
      <c r="K27" s="23" t="str">
        <f t="shared" si="2"/>
        <v>TEORIAS DO DESENVOLVIMENTO</v>
      </c>
    </row>
    <row r="28">
      <c r="A28" s="21" t="s">
        <v>159</v>
      </c>
      <c r="B28" s="21" t="s">
        <v>160</v>
      </c>
      <c r="C28" s="21" t="s">
        <v>97</v>
      </c>
      <c r="D28" s="21">
        <v>4.0</v>
      </c>
      <c r="E28" s="21">
        <v>60.0</v>
      </c>
      <c r="F28" s="21">
        <v>6.0</v>
      </c>
      <c r="G28" s="22" t="s">
        <v>13</v>
      </c>
      <c r="H28" s="23" t="s">
        <v>101</v>
      </c>
      <c r="I28" s="23">
        <f t="shared" si="3"/>
        <v>0</v>
      </c>
      <c r="J28" s="23" t="str">
        <f t="shared" si="1"/>
        <v/>
      </c>
      <c r="K28" s="23" t="str">
        <f t="shared" si="2"/>
        <v>TRANSFORMAÇÕES SOCIOCULTURAIS E DESENVOLVIMENTO REGIONAL</v>
      </c>
    </row>
    <row r="29">
      <c r="A29" s="21" t="s">
        <v>173</v>
      </c>
      <c r="B29" s="21" t="s">
        <v>174</v>
      </c>
      <c r="C29" s="21" t="s">
        <v>97</v>
      </c>
      <c r="D29" s="21">
        <v>4.0</v>
      </c>
      <c r="E29" s="21">
        <v>60.0</v>
      </c>
      <c r="F29" s="21">
        <v>0.0</v>
      </c>
      <c r="G29" s="22" t="s">
        <v>25</v>
      </c>
      <c r="H29" s="23" t="s">
        <v>167</v>
      </c>
      <c r="I29" s="23">
        <f t="shared" si="3"/>
        <v>3</v>
      </c>
      <c r="J29" s="23" t="str">
        <f t="shared" si="1"/>
        <v>
 - DIL01111 - INTRODUÇÃO À ÁLGEBRA LINEAR
 - e DIL01113 - CÁLCULO DIFERENCIAL E INTEGRAL I
 - e DIL01114 - FÍSICA PARA ENGENHARIA I</v>
      </c>
      <c r="K29" s="23" t="str">
        <f t="shared" si="2"/>
        <v>CÁLCULO DIFERENCIAL E INTEGRAL II</v>
      </c>
    </row>
    <row r="30">
      <c r="A30" s="21" t="s">
        <v>251</v>
      </c>
      <c r="B30" s="21" t="s">
        <v>253</v>
      </c>
      <c r="C30" s="21" t="s">
        <v>97</v>
      </c>
      <c r="D30" s="21">
        <v>4.0</v>
      </c>
      <c r="E30" s="21">
        <v>60.0</v>
      </c>
      <c r="F30" s="21">
        <v>15.0</v>
      </c>
      <c r="G30" s="22" t="s">
        <v>19</v>
      </c>
      <c r="H30" s="23" t="s">
        <v>167</v>
      </c>
      <c r="I30" s="23">
        <f t="shared" si="3"/>
        <v>1</v>
      </c>
      <c r="J30" s="23" t="str">
        <f t="shared" si="1"/>
        <v>
 - DIL01119 - PRINCÍPIOS DE CARTOGRAFIA E AEROFOTOGEOGRAFIA</v>
      </c>
      <c r="K30" s="23" t="str">
        <f t="shared" si="2"/>
        <v>CARTOGRAFIA TEMÁTICA E DIGITAL - A</v>
      </c>
    </row>
    <row r="31">
      <c r="A31" s="21" t="s">
        <v>180</v>
      </c>
      <c r="B31" s="21" t="s">
        <v>181</v>
      </c>
      <c r="C31" s="21" t="s">
        <v>97</v>
      </c>
      <c r="D31" s="21">
        <v>4.0</v>
      </c>
      <c r="E31" s="21">
        <v>60.0</v>
      </c>
      <c r="F31" s="21">
        <v>6.0</v>
      </c>
      <c r="G31" s="22" t="s">
        <v>13</v>
      </c>
      <c r="H31" s="23" t="s">
        <v>167</v>
      </c>
      <c r="I31" s="23">
        <f t="shared" si="3"/>
        <v>0</v>
      </c>
      <c r="J31" s="23" t="str">
        <f t="shared" si="1"/>
        <v/>
      </c>
      <c r="K31" s="23" t="str">
        <f t="shared" si="2"/>
        <v>DEMOGRAFIA</v>
      </c>
    </row>
    <row r="32">
      <c r="A32" s="21" t="s">
        <v>185</v>
      </c>
      <c r="B32" s="21" t="s">
        <v>186</v>
      </c>
      <c r="C32" s="21" t="s">
        <v>97</v>
      </c>
      <c r="D32" s="21">
        <v>4.0</v>
      </c>
      <c r="E32" s="21">
        <v>60.0</v>
      </c>
      <c r="F32" s="21">
        <v>6.0</v>
      </c>
      <c r="G32" s="22" t="s">
        <v>13</v>
      </c>
      <c r="H32" s="23" t="s">
        <v>167</v>
      </c>
      <c r="I32" s="23">
        <f t="shared" si="3"/>
        <v>0</v>
      </c>
      <c r="J32" s="23" t="str">
        <f t="shared" si="1"/>
        <v/>
      </c>
      <c r="K32" s="23" t="str">
        <f t="shared" si="2"/>
        <v>DESENVOLVIMENTO REGIONAL</v>
      </c>
    </row>
    <row r="33">
      <c r="A33" s="21" t="s">
        <v>192</v>
      </c>
      <c r="B33" s="21" t="s">
        <v>193</v>
      </c>
      <c r="C33" s="21" t="s">
        <v>97</v>
      </c>
      <c r="D33" s="21">
        <v>4.0</v>
      </c>
      <c r="E33" s="21">
        <v>60.0</v>
      </c>
      <c r="F33" s="21">
        <v>0.0</v>
      </c>
      <c r="G33" s="22" t="s">
        <v>19</v>
      </c>
      <c r="H33" s="23" t="s">
        <v>167</v>
      </c>
      <c r="I33" s="23">
        <f t="shared" si="3"/>
        <v>0</v>
      </c>
      <c r="J33" s="23" t="str">
        <f t="shared" si="1"/>
        <v/>
      </c>
      <c r="K33" s="23" t="str">
        <f t="shared" si="2"/>
        <v>EXPRESSÃO GRÁFICA</v>
      </c>
    </row>
    <row r="34">
      <c r="A34" s="21" t="s">
        <v>198</v>
      </c>
      <c r="B34" s="21" t="s">
        <v>199</v>
      </c>
      <c r="C34" s="21" t="s">
        <v>97</v>
      </c>
      <c r="D34" s="21">
        <v>4.0</v>
      </c>
      <c r="E34" s="21">
        <v>60.0</v>
      </c>
      <c r="F34" s="21">
        <v>0.0</v>
      </c>
      <c r="G34" s="22" t="s">
        <v>25</v>
      </c>
      <c r="H34" s="23" t="s">
        <v>167</v>
      </c>
      <c r="I34" s="23">
        <f t="shared" si="3"/>
        <v>3</v>
      </c>
      <c r="J34" s="23" t="str">
        <f t="shared" si="1"/>
        <v>
 - DIL01111 - INTRODUÇÃO À ÁLGEBRA LINEAR
 - e DIL01113 - CÁLCULO DIFERENCIAL E INTEGRAL I
 - e DIL01114 - FÍSICA PARA ENGENHARIA I</v>
      </c>
      <c r="K34" s="23" t="str">
        <f t="shared" si="2"/>
        <v>FÍSICA PARA ENGENHARIA II</v>
      </c>
    </row>
    <row r="35">
      <c r="A35" s="21" t="s">
        <v>282</v>
      </c>
      <c r="B35" s="21" t="s">
        <v>284</v>
      </c>
      <c r="C35" s="21" t="s">
        <v>97</v>
      </c>
      <c r="D35" s="21">
        <v>4.0</v>
      </c>
      <c r="E35" s="21">
        <v>60.0</v>
      </c>
      <c r="F35" s="21">
        <v>10.0</v>
      </c>
      <c r="G35" s="22" t="s">
        <v>25</v>
      </c>
      <c r="H35" s="23" t="s">
        <v>167</v>
      </c>
      <c r="I35" s="23">
        <f t="shared" si="3"/>
        <v>1</v>
      </c>
      <c r="J35" s="23" t="str">
        <f t="shared" si="1"/>
        <v>
 - DIL01133 - GEOMORFOLOGIA E AMBIENTES A</v>
      </c>
      <c r="K35" s="23" t="str">
        <f t="shared" si="2"/>
        <v>FUNDAMENTOS DE METEOROLOGIA E CLIMATOLOGIA A</v>
      </c>
    </row>
    <row r="36">
      <c r="A36" s="21" t="s">
        <v>203</v>
      </c>
      <c r="B36" s="21" t="s">
        <v>204</v>
      </c>
      <c r="C36" s="21" t="s">
        <v>97</v>
      </c>
      <c r="D36" s="21">
        <v>4.0</v>
      </c>
      <c r="E36" s="21">
        <v>60.0</v>
      </c>
      <c r="F36" s="21">
        <v>0.0</v>
      </c>
      <c r="G36" s="22" t="s">
        <v>25</v>
      </c>
      <c r="H36" s="23" t="s">
        <v>167</v>
      </c>
      <c r="I36" s="23">
        <f t="shared" si="3"/>
        <v>0</v>
      </c>
      <c r="J36" s="23" t="str">
        <f t="shared" si="1"/>
        <v/>
      </c>
      <c r="K36" s="23" t="str">
        <f t="shared" si="2"/>
        <v>FUNDAMENTOS DE QUÍMICA</v>
      </c>
    </row>
    <row r="37">
      <c r="A37" s="21" t="s">
        <v>295</v>
      </c>
      <c r="B37" s="21" t="s">
        <v>302</v>
      </c>
      <c r="C37" s="21" t="s">
        <v>97</v>
      </c>
      <c r="D37" s="21">
        <v>4.0</v>
      </c>
      <c r="E37" s="21">
        <v>60.0</v>
      </c>
      <c r="F37" s="21">
        <v>0.0</v>
      </c>
      <c r="G37" s="22" t="s">
        <v>19</v>
      </c>
      <c r="H37" s="23" t="s">
        <v>167</v>
      </c>
      <c r="I37" s="23">
        <f t="shared" si="3"/>
        <v>1</v>
      </c>
      <c r="J37" s="23" t="str">
        <f t="shared" si="1"/>
        <v>
 - DIL01158 - ADMINISTRAÇÃO</v>
      </c>
      <c r="K37" s="23" t="str">
        <f t="shared" si="2"/>
        <v>FUNDAMENTOS E ORGANIZAÇÃO DE EMPRESAS DE SERVIÇOS</v>
      </c>
    </row>
    <row r="38">
      <c r="A38" s="21" t="s">
        <v>208</v>
      </c>
      <c r="B38" s="21" t="s">
        <v>209</v>
      </c>
      <c r="C38" s="21" t="s">
        <v>97</v>
      </c>
      <c r="D38" s="21">
        <v>4.0</v>
      </c>
      <c r="E38" s="21">
        <v>60.0</v>
      </c>
      <c r="F38" s="21">
        <v>15.0</v>
      </c>
      <c r="G38" s="22" t="s">
        <v>13</v>
      </c>
      <c r="H38" s="23" t="s">
        <v>167</v>
      </c>
      <c r="I38" s="23">
        <f t="shared" si="3"/>
        <v>0</v>
      </c>
      <c r="J38" s="23" t="str">
        <f t="shared" si="1"/>
        <v/>
      </c>
      <c r="K38" s="23" t="str">
        <f t="shared" si="2"/>
        <v>GEOGRAFIA ECONÔMICA E HUMANA A</v>
      </c>
    </row>
    <row r="39">
      <c r="A39" s="21" t="s">
        <v>312</v>
      </c>
      <c r="B39" s="21" t="s">
        <v>327</v>
      </c>
      <c r="C39" s="21" t="s">
        <v>97</v>
      </c>
      <c r="D39" s="21">
        <v>6.0</v>
      </c>
      <c r="E39" s="21">
        <v>90.0</v>
      </c>
      <c r="F39" s="21">
        <v>15.0</v>
      </c>
      <c r="G39" s="22" t="s">
        <v>25</v>
      </c>
      <c r="H39" s="23" t="s">
        <v>167</v>
      </c>
      <c r="I39" s="23">
        <f t="shared" si="3"/>
        <v>0</v>
      </c>
      <c r="J39" s="23" t="str">
        <f t="shared" si="1"/>
        <v/>
      </c>
      <c r="K39" s="23" t="str">
        <f t="shared" si="2"/>
        <v>GEOMORFOLOGIA E AMBIENTES A</v>
      </c>
    </row>
    <row r="40">
      <c r="A40" s="21" t="s">
        <v>333</v>
      </c>
      <c r="B40" s="21" t="s">
        <v>336</v>
      </c>
      <c r="C40" s="21" t="s">
        <v>97</v>
      </c>
      <c r="D40" s="21">
        <v>2.0</v>
      </c>
      <c r="E40" s="21">
        <v>30.0</v>
      </c>
      <c r="F40" s="21">
        <v>0.0</v>
      </c>
      <c r="G40" s="22" t="s">
        <v>13</v>
      </c>
      <c r="H40" s="23" t="s">
        <v>167</v>
      </c>
      <c r="I40" s="23">
        <f t="shared" si="3"/>
        <v>0</v>
      </c>
      <c r="J40" s="23" t="str">
        <f t="shared" si="1"/>
        <v/>
      </c>
      <c r="K40" s="23" t="str">
        <f t="shared" si="2"/>
        <v>LABORATÓRIO DE DOCÊNCIA II: O AMBIENTE ESCOLAR - A</v>
      </c>
    </row>
    <row r="41">
      <c r="A41" s="21" t="s">
        <v>215</v>
      </c>
      <c r="B41" s="21" t="s">
        <v>216</v>
      </c>
      <c r="C41" s="21" t="s">
        <v>97</v>
      </c>
      <c r="D41" s="21">
        <v>2.0</v>
      </c>
      <c r="E41" s="21">
        <v>30.0</v>
      </c>
      <c r="F41" s="21">
        <v>0.0</v>
      </c>
      <c r="G41" s="22" t="s">
        <v>25</v>
      </c>
      <c r="H41" s="23" t="s">
        <v>167</v>
      </c>
      <c r="I41" s="23">
        <f t="shared" si="3"/>
        <v>3</v>
      </c>
      <c r="J41" s="23" t="str">
        <f t="shared" si="1"/>
        <v>
 - DIL01111 - INTRODUÇÃO À ÁLGEBRA LINEAR
 - e DIL01113 - CÁLCULO DIFERENCIAL E INTEGRAL I
 - e DIL01114 - FÍSICA PARA ENGENHARIA I</v>
      </c>
      <c r="K41" s="23" t="str">
        <f t="shared" si="2"/>
        <v>LABORATÓRIO DE FÍSICA PARA ENGENHARIA II</v>
      </c>
    </row>
    <row r="42">
      <c r="A42" s="21" t="s">
        <v>221</v>
      </c>
      <c r="B42" s="21" t="s">
        <v>222</v>
      </c>
      <c r="C42" s="21" t="s">
        <v>97</v>
      </c>
      <c r="D42" s="21">
        <v>2.0</v>
      </c>
      <c r="E42" s="21">
        <v>30.0</v>
      </c>
      <c r="F42" s="21">
        <v>0.0</v>
      </c>
      <c r="G42" s="22" t="s">
        <v>25</v>
      </c>
      <c r="H42" s="23" t="s">
        <v>167</v>
      </c>
      <c r="I42" s="23">
        <f t="shared" si="3"/>
        <v>0</v>
      </c>
      <c r="J42" s="23" t="str">
        <f t="shared" si="1"/>
        <v/>
      </c>
      <c r="K42" s="23" t="str">
        <f t="shared" si="2"/>
        <v>LABORATÓRIO DE FUNDAMENTOS DE QUÍMICA</v>
      </c>
    </row>
    <row r="43">
      <c r="A43" s="21" t="s">
        <v>226</v>
      </c>
      <c r="B43" s="21" t="s">
        <v>227</v>
      </c>
      <c r="C43" s="21" t="s">
        <v>97</v>
      </c>
      <c r="D43" s="21">
        <v>4.0</v>
      </c>
      <c r="E43" s="21">
        <v>60.0</v>
      </c>
      <c r="F43" s="21">
        <v>12.0</v>
      </c>
      <c r="G43" s="22" t="s">
        <v>13</v>
      </c>
      <c r="H43" s="23" t="s">
        <v>167</v>
      </c>
      <c r="I43" s="23">
        <f t="shared" si="3"/>
        <v>0</v>
      </c>
      <c r="J43" s="23" t="str">
        <f t="shared" si="1"/>
        <v/>
      </c>
      <c r="K43" s="23" t="str">
        <f t="shared" si="2"/>
        <v>POLÍTICAS PÚBLICAS DO DESENVOLVIMENTO REGIONAL</v>
      </c>
    </row>
    <row r="44">
      <c r="A44" s="21" t="s">
        <v>340</v>
      </c>
      <c r="B44" s="21" t="s">
        <v>341</v>
      </c>
      <c r="C44" s="21" t="s">
        <v>97</v>
      </c>
      <c r="D44" s="21">
        <v>2.0</v>
      </c>
      <c r="E44" s="21">
        <v>30.0</v>
      </c>
      <c r="F44" s="21">
        <v>30.0</v>
      </c>
      <c r="G44" s="22" t="s">
        <v>19</v>
      </c>
      <c r="H44" s="23" t="s">
        <v>167</v>
      </c>
      <c r="I44" s="23">
        <f t="shared" si="3"/>
        <v>0</v>
      </c>
      <c r="J44" s="23" t="str">
        <f t="shared" si="1"/>
        <v/>
      </c>
      <c r="K44" s="23" t="str">
        <f t="shared" si="2"/>
        <v>PROJETO INTEGRADOR 1: DIAGNÓSTICO DO SETOR DE SERVIÇO DA REGIÃO</v>
      </c>
    </row>
    <row r="45">
      <c r="A45" s="21" t="s">
        <v>347</v>
      </c>
      <c r="B45" s="21" t="s">
        <v>348</v>
      </c>
      <c r="C45" s="21" t="s">
        <v>97</v>
      </c>
      <c r="D45" s="21">
        <v>3.0</v>
      </c>
      <c r="E45" s="21">
        <v>45.0</v>
      </c>
      <c r="F45" s="21">
        <v>0.0</v>
      </c>
      <c r="G45" s="22" t="s">
        <v>19</v>
      </c>
      <c r="H45" s="23" t="s">
        <v>167</v>
      </c>
      <c r="I45" s="23">
        <f t="shared" si="3"/>
        <v>1</v>
      </c>
      <c r="J45" s="23" t="str">
        <f t="shared" si="1"/>
        <v>
 - DIL01158 - ADMINISTRAÇÃO</v>
      </c>
      <c r="K45" s="23" t="str">
        <f t="shared" si="2"/>
        <v>QUALIDADE EM SERVIÇOS</v>
      </c>
    </row>
    <row r="46">
      <c r="A46" s="21" t="s">
        <v>230</v>
      </c>
      <c r="B46" s="21" t="s">
        <v>232</v>
      </c>
      <c r="C46" s="21" t="s">
        <v>97</v>
      </c>
      <c r="D46" s="21">
        <v>3.0</v>
      </c>
      <c r="E46" s="21">
        <v>45.0</v>
      </c>
      <c r="F46" s="21">
        <v>0.0</v>
      </c>
      <c r="G46" s="22" t="s">
        <v>19</v>
      </c>
      <c r="H46" s="23" t="s">
        <v>233</v>
      </c>
      <c r="I46" s="23">
        <f t="shared" si="3"/>
        <v>1</v>
      </c>
      <c r="J46" s="23" t="str">
        <f t="shared" si="1"/>
        <v>
 - DIL01109 - FUNDAMENTOS DE QUÍMICA</v>
      </c>
      <c r="K46" s="23" t="str">
        <f t="shared" si="2"/>
        <v>CIÊNCIA E TECNOLOGIA DOS MATERIAIS</v>
      </c>
    </row>
    <row r="47">
      <c r="A47" s="21" t="s">
        <v>236</v>
      </c>
      <c r="B47" s="21" t="s">
        <v>237</v>
      </c>
      <c r="C47" s="21" t="s">
        <v>97</v>
      </c>
      <c r="D47" s="21">
        <v>4.0</v>
      </c>
      <c r="E47" s="21">
        <v>60.0</v>
      </c>
      <c r="F47" s="21">
        <v>0.0</v>
      </c>
      <c r="G47" s="22" t="s">
        <v>19</v>
      </c>
      <c r="H47" s="23" t="s">
        <v>233</v>
      </c>
      <c r="I47" s="23">
        <f t="shared" si="3"/>
        <v>2</v>
      </c>
      <c r="J47" s="23" t="str">
        <f t="shared" si="1"/>
        <v>
 - DIL01111 - INTRODUÇÃO À ÁLGEBRA LINEAR
 - e DIL01113 - CÁLCULO DIFERENCIAL E INTEGRAL I</v>
      </c>
      <c r="K47" s="23" t="str">
        <f t="shared" si="2"/>
        <v>CIRCUITOS ELÉTRICOS I</v>
      </c>
    </row>
    <row r="48">
      <c r="A48" s="21" t="s">
        <v>241</v>
      </c>
      <c r="B48" s="21" t="s">
        <v>243</v>
      </c>
      <c r="C48" s="21" t="s">
        <v>97</v>
      </c>
      <c r="D48" s="21">
        <v>4.0</v>
      </c>
      <c r="E48" s="21">
        <v>60.0</v>
      </c>
      <c r="F48" s="21">
        <v>9.0</v>
      </c>
      <c r="G48" s="22" t="s">
        <v>13</v>
      </c>
      <c r="H48" s="23" t="s">
        <v>233</v>
      </c>
      <c r="I48" s="23">
        <f t="shared" si="3"/>
        <v>0</v>
      </c>
      <c r="J48" s="23" t="str">
        <f t="shared" si="1"/>
        <v/>
      </c>
      <c r="K48" s="23" t="str">
        <f t="shared" si="2"/>
        <v>DESENVOLVIMENTO RURAL</v>
      </c>
    </row>
    <row r="49">
      <c r="A49" s="21" t="s">
        <v>246</v>
      </c>
      <c r="B49" s="21" t="s">
        <v>247</v>
      </c>
      <c r="C49" s="21" t="s">
        <v>97</v>
      </c>
      <c r="D49" s="21">
        <v>4.0</v>
      </c>
      <c r="E49" s="21">
        <v>60.0</v>
      </c>
      <c r="F49" s="21">
        <v>6.0</v>
      </c>
      <c r="G49" s="22" t="s">
        <v>13</v>
      </c>
      <c r="H49" s="23" t="s">
        <v>233</v>
      </c>
      <c r="I49" s="23">
        <f t="shared" si="3"/>
        <v>0</v>
      </c>
      <c r="J49" s="23" t="str">
        <f t="shared" si="1"/>
        <v/>
      </c>
      <c r="K49" s="23" t="str">
        <f t="shared" si="2"/>
        <v>ECONOMIA POLÍTICA DO DESENVOLVIMENTO NO BRASIL</v>
      </c>
    </row>
    <row r="50">
      <c r="A50" s="21" t="s">
        <v>252</v>
      </c>
      <c r="B50" s="21" t="s">
        <v>254</v>
      </c>
      <c r="C50" s="21" t="s">
        <v>97</v>
      </c>
      <c r="D50" s="21">
        <v>4.0</v>
      </c>
      <c r="E50" s="21">
        <v>60.0</v>
      </c>
      <c r="F50" s="21">
        <v>0.0</v>
      </c>
      <c r="G50" s="22" t="s">
        <v>25</v>
      </c>
      <c r="H50" s="23" t="s">
        <v>233</v>
      </c>
      <c r="I50" s="23">
        <f t="shared" si="3"/>
        <v>1</v>
      </c>
      <c r="J50" s="23" t="str">
        <f t="shared" si="1"/>
        <v>
 - DIL01122 - CÁLCULO DIFERENCIAL E INTEGRAL II</v>
      </c>
      <c r="K50" s="23" t="str">
        <f t="shared" si="2"/>
        <v>EQUAÇÕES DIFERENCIAIS</v>
      </c>
    </row>
    <row r="51">
      <c r="A51" s="21" t="s">
        <v>381</v>
      </c>
      <c r="B51" s="21" t="s">
        <v>382</v>
      </c>
      <c r="C51" s="21" t="s">
        <v>97</v>
      </c>
      <c r="D51" s="21">
        <v>4.0</v>
      </c>
      <c r="E51" s="21">
        <v>60.0</v>
      </c>
      <c r="F51" s="21">
        <v>0.0</v>
      </c>
      <c r="G51" s="22" t="s">
        <v>13</v>
      </c>
      <c r="H51" s="23" t="s">
        <v>233</v>
      </c>
      <c r="I51" s="23">
        <f t="shared" si="3"/>
        <v>0</v>
      </c>
      <c r="J51" s="23" t="str">
        <f t="shared" si="1"/>
        <v/>
      </c>
      <c r="K51" s="23" t="str">
        <f t="shared" si="2"/>
        <v>FILOSOFIA E SOCIOLOGIA DA EDUCAÇÃO</v>
      </c>
    </row>
    <row r="52">
      <c r="A52" s="21" t="s">
        <v>387</v>
      </c>
      <c r="B52" s="21" t="s">
        <v>389</v>
      </c>
      <c r="C52" s="21" t="s">
        <v>97</v>
      </c>
      <c r="D52" s="21">
        <v>4.0</v>
      </c>
      <c r="E52" s="21">
        <v>60.0</v>
      </c>
      <c r="F52" s="21">
        <v>0.0</v>
      </c>
      <c r="G52" s="22" t="s">
        <v>19</v>
      </c>
      <c r="H52" s="23" t="s">
        <v>233</v>
      </c>
      <c r="I52" s="23">
        <f t="shared" si="3"/>
        <v>2</v>
      </c>
      <c r="J52" s="23" t="str">
        <f t="shared" si="1"/>
        <v>
 - DIL01111 - INTRODUÇÃO À ÁLGEBRA LINEAR
 - e DIL01113 - CÁLCULO DIFERENCIAL E INTEGRAL I</v>
      </c>
      <c r="K52" s="23" t="str">
        <f t="shared" si="2"/>
        <v>FUNDAMENTOS DE ELETRICIDADE E APLICAÇÕES</v>
      </c>
    </row>
    <row r="53">
      <c r="A53" s="21" t="s">
        <v>257</v>
      </c>
      <c r="B53" s="21" t="s">
        <v>259</v>
      </c>
      <c r="C53" s="21" t="s">
        <v>97</v>
      </c>
      <c r="D53" s="21">
        <v>4.0</v>
      </c>
      <c r="E53" s="21">
        <v>60.0</v>
      </c>
      <c r="F53" s="21">
        <v>0.0</v>
      </c>
      <c r="G53" s="22" t="s">
        <v>25</v>
      </c>
      <c r="H53" s="23" t="s">
        <v>233</v>
      </c>
      <c r="I53" s="23">
        <f t="shared" si="3"/>
        <v>2</v>
      </c>
      <c r="J53" s="23" t="str">
        <f t="shared" si="1"/>
        <v>
 - DIL01111 - INTRODUÇÃO À ÁLGEBRA LINEAR
 - e DIL01113 - CÁLCULO DIFERENCIAL E INTEGRAL I</v>
      </c>
      <c r="K53" s="23" t="str">
        <f t="shared" si="2"/>
        <v>FUNDAMENTOS DO ELETROMAGNETISMO</v>
      </c>
    </row>
    <row r="54">
      <c r="A54" s="21" t="s">
        <v>394</v>
      </c>
      <c r="B54" s="21" t="s">
        <v>395</v>
      </c>
      <c r="C54" s="21" t="s">
        <v>97</v>
      </c>
      <c r="D54" s="21">
        <v>6.0</v>
      </c>
      <c r="E54" s="21">
        <v>90.0</v>
      </c>
      <c r="F54" s="21">
        <v>0.0</v>
      </c>
      <c r="G54" s="22" t="s">
        <v>25</v>
      </c>
      <c r="H54" s="23" t="s">
        <v>233</v>
      </c>
      <c r="I54" s="23">
        <f t="shared" si="3"/>
        <v>1</v>
      </c>
      <c r="J54" s="23" t="str">
        <f t="shared" si="1"/>
        <v>
 - DIL01354 - HISTÓRIA E FUNDAMENTOS DA GEOGRAFIA - A</v>
      </c>
      <c r="K54" s="23" t="str">
        <f t="shared" si="2"/>
        <v>GEOGRAFIA AGRÁRIA - A</v>
      </c>
    </row>
    <row r="55">
      <c r="A55" s="21" t="s">
        <v>401</v>
      </c>
      <c r="B55" s="21" t="s">
        <v>404</v>
      </c>
      <c r="C55" s="21" t="s">
        <v>97</v>
      </c>
      <c r="D55" s="21">
        <v>6.0</v>
      </c>
      <c r="E55" s="21">
        <v>90.0</v>
      </c>
      <c r="F55" s="21">
        <v>15.0</v>
      </c>
      <c r="G55" s="22" t="s">
        <v>25</v>
      </c>
      <c r="H55" s="23" t="s">
        <v>233</v>
      </c>
      <c r="I55" s="23">
        <f t="shared" si="3"/>
        <v>0</v>
      </c>
      <c r="J55" s="23" t="str">
        <f t="shared" si="1"/>
        <v/>
      </c>
      <c r="K55" s="23" t="str">
        <f t="shared" si="2"/>
        <v>HIDROGRAFIA E OCEANOGRAFIA A</v>
      </c>
    </row>
    <row r="56">
      <c r="A56" s="21" t="s">
        <v>442</v>
      </c>
      <c r="B56" s="21" t="s">
        <v>443</v>
      </c>
      <c r="C56" s="21" t="s">
        <v>97</v>
      </c>
      <c r="D56" s="21">
        <v>2.0</v>
      </c>
      <c r="E56" s="21">
        <v>30.0</v>
      </c>
      <c r="F56" s="21">
        <v>0.0</v>
      </c>
      <c r="G56" s="22" t="s">
        <v>13</v>
      </c>
      <c r="H56" s="23" t="s">
        <v>233</v>
      </c>
      <c r="I56" s="23">
        <f t="shared" si="3"/>
        <v>0</v>
      </c>
      <c r="J56" s="23" t="str">
        <f t="shared" si="1"/>
        <v/>
      </c>
      <c r="K56" s="23" t="str">
        <f t="shared" si="2"/>
        <v>HISTÓRIA DA EDUCAÇÃO - A</v>
      </c>
    </row>
    <row r="57">
      <c r="A57" s="21" t="s">
        <v>262</v>
      </c>
      <c r="B57" s="21" t="s">
        <v>411</v>
      </c>
      <c r="C57" s="21" t="s">
        <v>97</v>
      </c>
      <c r="D57" s="21">
        <v>4.0</v>
      </c>
      <c r="E57" s="21">
        <v>60.0</v>
      </c>
      <c r="F57" s="21">
        <v>0.0</v>
      </c>
      <c r="G57" s="22" t="s">
        <v>19</v>
      </c>
      <c r="H57" s="23" t="s">
        <v>233</v>
      </c>
      <c r="I57" s="23">
        <f t="shared" si="3"/>
        <v>1</v>
      </c>
      <c r="J57" s="23" t="str">
        <f t="shared" si="1"/>
        <v>
 - DIL01109 - FUNDAMENTOS DE QUÍMICA</v>
      </c>
      <c r="K57" s="23" t="str">
        <f t="shared" si="2"/>
        <v>INTRODUÇÃO À TERMODINÂMICA E ENERGIAS RENOVÁVEIS</v>
      </c>
    </row>
    <row r="58">
      <c r="A58" s="21" t="s">
        <v>267</v>
      </c>
      <c r="B58" s="21" t="s">
        <v>268</v>
      </c>
      <c r="C58" s="21" t="s">
        <v>97</v>
      </c>
      <c r="D58" s="21">
        <v>2.0</v>
      </c>
      <c r="E58" s="21">
        <v>30.0</v>
      </c>
      <c r="F58" s="21">
        <v>0.0</v>
      </c>
      <c r="G58" s="22" t="s">
        <v>19</v>
      </c>
      <c r="H58" s="23" t="s">
        <v>233</v>
      </c>
      <c r="I58" s="23">
        <f t="shared" si="3"/>
        <v>2</v>
      </c>
      <c r="J58" s="23" t="str">
        <f t="shared" si="1"/>
        <v>
 - DIL01111 - INTRODUÇÃO À ÁLGEBRA LINEAR
 - e DIL01113 - CÁLCULO DIFERENCIAL E INTEGRAL I</v>
      </c>
      <c r="K58" s="23" t="str">
        <f t="shared" si="2"/>
        <v>LABORATÓRIO DE CIRCUITOS ELÉTRICOS I</v>
      </c>
    </row>
    <row r="59">
      <c r="A59" s="21" t="s">
        <v>461</v>
      </c>
      <c r="B59" s="21" t="s">
        <v>462</v>
      </c>
      <c r="C59" s="21" t="s">
        <v>97</v>
      </c>
      <c r="D59" s="21">
        <v>2.0</v>
      </c>
      <c r="E59" s="21">
        <v>30.0</v>
      </c>
      <c r="F59" s="21">
        <v>0.0</v>
      </c>
      <c r="G59" s="22" t="s">
        <v>13</v>
      </c>
      <c r="H59" s="23" t="s">
        <v>233</v>
      </c>
      <c r="I59" s="23">
        <f t="shared" si="3"/>
        <v>0</v>
      </c>
      <c r="J59" s="23" t="str">
        <f t="shared" si="1"/>
        <v/>
      </c>
      <c r="K59" s="23" t="str">
        <f t="shared" si="2"/>
        <v>LABORATÓRIO DE DOCÊNCIA IV: A GESTÃO ESCOLAR</v>
      </c>
    </row>
    <row r="60">
      <c r="A60" s="21" t="s">
        <v>274</v>
      </c>
      <c r="B60" s="21" t="s">
        <v>275</v>
      </c>
      <c r="C60" s="21" t="s">
        <v>97</v>
      </c>
      <c r="D60" s="21">
        <v>2.0</v>
      </c>
      <c r="E60" s="21">
        <v>30.0</v>
      </c>
      <c r="F60" s="21">
        <v>0.0</v>
      </c>
      <c r="G60" s="22" t="s">
        <v>25</v>
      </c>
      <c r="H60" s="23" t="s">
        <v>233</v>
      </c>
      <c r="I60" s="23">
        <f t="shared" si="3"/>
        <v>2</v>
      </c>
      <c r="J60" s="23" t="str">
        <f t="shared" si="1"/>
        <v>
 - DIL01111 - INTRODUÇÃO À ÁLGEBRA LINEAR
 - e DIL01113 - CÁLCULO DIFERENCIAL E INTEGRAL I</v>
      </c>
      <c r="K60" s="23" t="str">
        <f t="shared" si="2"/>
        <v>LABORATÓRIO DE FUNDAMENTOS DO ELETROMAGNETISMO</v>
      </c>
    </row>
    <row r="61">
      <c r="A61" s="21" t="s">
        <v>278</v>
      </c>
      <c r="B61" s="21" t="s">
        <v>280</v>
      </c>
      <c r="C61" s="21" t="s">
        <v>97</v>
      </c>
      <c r="D61" s="21">
        <v>4.0</v>
      </c>
      <c r="E61" s="21">
        <v>60.0</v>
      </c>
      <c r="F61" s="21">
        <v>15.0</v>
      </c>
      <c r="G61" s="22" t="s">
        <v>16</v>
      </c>
      <c r="H61" s="23" t="s">
        <v>233</v>
      </c>
      <c r="I61" s="23">
        <f t="shared" si="3"/>
        <v>0</v>
      </c>
      <c r="J61" s="23" t="str">
        <f t="shared" si="1"/>
        <v/>
      </c>
      <c r="K61" s="23" t="str">
        <f t="shared" si="2"/>
        <v>LIDERANÇA E EMPREENDEDORISMO</v>
      </c>
    </row>
    <row r="62">
      <c r="A62" s="21" t="s">
        <v>428</v>
      </c>
      <c r="B62" s="21" t="s">
        <v>429</v>
      </c>
      <c r="C62" s="21" t="s">
        <v>97</v>
      </c>
      <c r="D62" s="21">
        <v>4.0</v>
      </c>
      <c r="E62" s="21">
        <v>60.0</v>
      </c>
      <c r="F62" s="21">
        <v>15.0</v>
      </c>
      <c r="G62" s="22" t="s">
        <v>19</v>
      </c>
      <c r="H62" s="23" t="s">
        <v>233</v>
      </c>
      <c r="I62" s="23">
        <f t="shared" si="3"/>
        <v>0</v>
      </c>
      <c r="J62" s="23" t="str">
        <f t="shared" si="1"/>
        <v/>
      </c>
      <c r="K62" s="23" t="str">
        <f t="shared" si="2"/>
        <v>MARKETING E SATISFAÇÃO DO CLIENTE EM SERVIÇOS</v>
      </c>
    </row>
    <row r="63">
      <c r="A63" s="21" t="s">
        <v>335</v>
      </c>
      <c r="B63" s="21" t="s">
        <v>337</v>
      </c>
      <c r="C63" s="21" t="s">
        <v>97</v>
      </c>
      <c r="D63" s="21">
        <v>6.0</v>
      </c>
      <c r="E63" s="21">
        <v>90.0</v>
      </c>
      <c r="F63" s="21">
        <v>0.0</v>
      </c>
      <c r="G63" s="22" t="s">
        <v>19</v>
      </c>
      <c r="H63" s="23" t="s">
        <v>233</v>
      </c>
      <c r="I63" s="23">
        <f t="shared" si="3"/>
        <v>2</v>
      </c>
      <c r="J63" s="23" t="str">
        <f t="shared" si="1"/>
        <v>
 - DIL01114 - FÍSICA PARA ENGENHARIA I
 - e DIL01122 - CÁLCULO DIFERENCIAL E INTEGRAL II</v>
      </c>
      <c r="K63" s="23" t="str">
        <f t="shared" si="2"/>
        <v>MECÂNICA E RESISTÊNCIA DOS MATERIAIS</v>
      </c>
    </row>
    <row r="64">
      <c r="A64" s="21" t="s">
        <v>285</v>
      </c>
      <c r="B64" s="21" t="s">
        <v>286</v>
      </c>
      <c r="C64" s="21" t="s">
        <v>97</v>
      </c>
      <c r="D64" s="21">
        <v>4.0</v>
      </c>
      <c r="E64" s="21">
        <v>60.0</v>
      </c>
      <c r="F64" s="21">
        <v>6.0</v>
      </c>
      <c r="G64" s="22" t="s">
        <v>13</v>
      </c>
      <c r="H64" s="23" t="s">
        <v>233</v>
      </c>
      <c r="I64" s="23">
        <f t="shared" si="3"/>
        <v>0</v>
      </c>
      <c r="J64" s="23" t="str">
        <f t="shared" si="1"/>
        <v/>
      </c>
      <c r="K64" s="23" t="str">
        <f t="shared" si="2"/>
        <v>PROCESSOS DE CONSTRUÇÃO DE IDENTIDADES</v>
      </c>
    </row>
    <row r="65">
      <c r="A65" s="21" t="s">
        <v>291</v>
      </c>
      <c r="B65" s="21" t="s">
        <v>292</v>
      </c>
      <c r="C65" s="21" t="s">
        <v>97</v>
      </c>
      <c r="D65" s="21">
        <v>4.0</v>
      </c>
      <c r="E65" s="21">
        <v>60.0</v>
      </c>
      <c r="F65" s="21">
        <v>0.0</v>
      </c>
      <c r="G65" s="22" t="s">
        <v>19</v>
      </c>
      <c r="H65" s="23" t="s">
        <v>233</v>
      </c>
      <c r="I65" s="23">
        <f t="shared" si="3"/>
        <v>1</v>
      </c>
      <c r="J65" s="23" t="str">
        <f t="shared" si="1"/>
        <v>
 - DIL01119 - PRINCÍPIOS DE CARTOGRAFIA E AEROFOTOGEOGRAFIA</v>
      </c>
      <c r="K65" s="23" t="str">
        <f t="shared" si="2"/>
        <v>SENSORIAMENTO REMOTO - A</v>
      </c>
    </row>
    <row r="66">
      <c r="A66" s="21" t="s">
        <v>164</v>
      </c>
      <c r="B66" s="21" t="s">
        <v>166</v>
      </c>
      <c r="C66" s="21" t="s">
        <v>97</v>
      </c>
      <c r="D66" s="21">
        <v>4.0</v>
      </c>
      <c r="E66" s="21">
        <v>60.0</v>
      </c>
      <c r="F66" s="21">
        <v>0.0</v>
      </c>
      <c r="G66" s="22" t="s">
        <v>19</v>
      </c>
      <c r="H66" s="23" t="s">
        <v>300</v>
      </c>
      <c r="I66" s="23">
        <f t="shared" si="3"/>
        <v>1</v>
      </c>
      <c r="J66" s="23" t="str">
        <f t="shared" si="1"/>
        <v>
 - DIL01111 - INTRODUÇÃO À ÁLGEBRA LINEAR</v>
      </c>
      <c r="K66" s="23" t="str">
        <f t="shared" si="2"/>
        <v>ALGORITMOS E PROGRAMAÇÃO</v>
      </c>
    </row>
    <row r="67">
      <c r="A67" s="21" t="s">
        <v>489</v>
      </c>
      <c r="B67" s="21" t="s">
        <v>490</v>
      </c>
      <c r="C67" s="21" t="s">
        <v>97</v>
      </c>
      <c r="D67" s="21">
        <v>6.0</v>
      </c>
      <c r="E67" s="21">
        <v>90.0</v>
      </c>
      <c r="F67" s="21">
        <v>15.0</v>
      </c>
      <c r="G67" s="22" t="s">
        <v>16</v>
      </c>
      <c r="H67" s="23" t="s">
        <v>300</v>
      </c>
      <c r="I67" s="23">
        <f t="shared" si="3"/>
        <v>1</v>
      </c>
      <c r="J67" s="23" t="str">
        <f t="shared" si="1"/>
        <v>
 - DIL01093 - INTRODUÇÃO À DINÂMICA E AOS PROCESSOS DA NATUREZA - B</v>
      </c>
      <c r="K67" s="23" t="str">
        <f t="shared" si="2"/>
        <v>BIOGEOGRAFIA A</v>
      </c>
    </row>
    <row r="68">
      <c r="A68" s="21" t="s">
        <v>367</v>
      </c>
      <c r="B68" s="21" t="s">
        <v>494</v>
      </c>
      <c r="C68" s="21" t="s">
        <v>97</v>
      </c>
      <c r="D68" s="21">
        <v>4.0</v>
      </c>
      <c r="E68" s="21">
        <v>60.0</v>
      </c>
      <c r="F68" s="21">
        <v>8.0</v>
      </c>
      <c r="G68" s="22" t="s">
        <v>19</v>
      </c>
      <c r="H68" s="23" t="s">
        <v>300</v>
      </c>
      <c r="I68" s="23">
        <f t="shared" si="3"/>
        <v>1</v>
      </c>
      <c r="J68" s="23" t="str">
        <f t="shared" si="1"/>
        <v>
 - DIL01093 - INTRODUÇÃO À DINÂMICA E AOS PROCESSOS DA NATUREZA - B</v>
      </c>
      <c r="K68" s="23" t="str">
        <f t="shared" si="2"/>
        <v>CIÊNCIAS DO AMBIENTE: ENERGIA E MEIO AMBIENTE</v>
      </c>
    </row>
    <row r="69">
      <c r="A69" s="21" t="s">
        <v>297</v>
      </c>
      <c r="B69" s="21" t="s">
        <v>298</v>
      </c>
      <c r="C69" s="21" t="s">
        <v>97</v>
      </c>
      <c r="D69" s="21">
        <v>4.0</v>
      </c>
      <c r="E69" s="21">
        <v>60.0</v>
      </c>
      <c r="F69" s="21">
        <v>6.0</v>
      </c>
      <c r="G69" s="22" t="s">
        <v>19</v>
      </c>
      <c r="H69" s="23" t="s">
        <v>300</v>
      </c>
      <c r="I69" s="23">
        <f t="shared" si="3"/>
        <v>2</v>
      </c>
      <c r="J69" s="23" t="str">
        <f t="shared" si="1"/>
        <v>
 - DIL01135 - EQUAÇÕES DIFERENCIAIS
 - e DIL01138 - CIRCUITOS ELÉTRICOS I</v>
      </c>
      <c r="K69" s="23" t="str">
        <f t="shared" si="2"/>
        <v>CIRCUITOS ELÉTRICOS II</v>
      </c>
    </row>
    <row r="70">
      <c r="A70" s="21" t="s">
        <v>467</v>
      </c>
      <c r="B70" s="21" t="s">
        <v>468</v>
      </c>
      <c r="C70" s="21" t="s">
        <v>97</v>
      </c>
      <c r="D70" s="21">
        <v>3.0</v>
      </c>
      <c r="E70" s="21">
        <v>45.0</v>
      </c>
      <c r="F70" s="21">
        <v>0.0</v>
      </c>
      <c r="G70" s="22" t="s">
        <v>19</v>
      </c>
      <c r="H70" s="23" t="s">
        <v>300</v>
      </c>
      <c r="I70" s="23">
        <f t="shared" si="3"/>
        <v>0</v>
      </c>
      <c r="J70" s="23" t="str">
        <f t="shared" si="1"/>
        <v/>
      </c>
      <c r="K70" s="23" t="str">
        <f t="shared" si="2"/>
        <v>DESENVOLVIMENTO E PROTOTIPAGEM DE SERVIÇOS</v>
      </c>
    </row>
    <row r="71">
      <c r="A71" s="21" t="s">
        <v>303</v>
      </c>
      <c r="B71" s="21" t="s">
        <v>305</v>
      </c>
      <c r="C71" s="21" t="s">
        <v>97</v>
      </c>
      <c r="D71" s="21">
        <v>4.0</v>
      </c>
      <c r="E71" s="21">
        <v>60.0</v>
      </c>
      <c r="F71" s="21">
        <v>6.0</v>
      </c>
      <c r="G71" s="22" t="s">
        <v>16</v>
      </c>
      <c r="H71" s="23" t="s">
        <v>300</v>
      </c>
      <c r="I71" s="23">
        <f t="shared" si="3"/>
        <v>0</v>
      </c>
      <c r="J71" s="23" t="str">
        <f t="shared" si="1"/>
        <v/>
      </c>
      <c r="K71" s="23" t="str">
        <f t="shared" si="2"/>
        <v>ECONOMIA E AMBIENTE</v>
      </c>
    </row>
    <row r="72">
      <c r="A72" s="21" t="s">
        <v>510</v>
      </c>
      <c r="B72" s="21" t="s">
        <v>511</v>
      </c>
      <c r="C72" s="21" t="s">
        <v>97</v>
      </c>
      <c r="D72" s="21">
        <v>2.0</v>
      </c>
      <c r="E72" s="21">
        <v>30.0</v>
      </c>
      <c r="F72" s="21">
        <v>0.0</v>
      </c>
      <c r="G72" s="22" t="s">
        <v>13</v>
      </c>
      <c r="H72" s="23" t="s">
        <v>300</v>
      </c>
      <c r="I72" s="23">
        <f t="shared" si="3"/>
        <v>0</v>
      </c>
      <c r="J72" s="23" t="str">
        <f t="shared" si="1"/>
        <v/>
      </c>
      <c r="K72" s="23" t="str">
        <f t="shared" si="2"/>
        <v>EDUCAÇÃO E DIVERSIDADE</v>
      </c>
    </row>
    <row r="73">
      <c r="A73" s="21" t="s">
        <v>308</v>
      </c>
      <c r="B73" s="21" t="s">
        <v>309</v>
      </c>
      <c r="C73" s="21" t="s">
        <v>97</v>
      </c>
      <c r="D73" s="21">
        <v>4.0</v>
      </c>
      <c r="E73" s="21">
        <v>60.0</v>
      </c>
      <c r="F73" s="21">
        <v>6.0</v>
      </c>
      <c r="G73" s="22" t="s">
        <v>13</v>
      </c>
      <c r="H73" s="23" t="s">
        <v>300</v>
      </c>
      <c r="I73" s="23">
        <f t="shared" si="3"/>
        <v>0</v>
      </c>
      <c r="J73" s="23" t="str">
        <f t="shared" si="1"/>
        <v/>
      </c>
      <c r="K73" s="23" t="str">
        <f t="shared" si="2"/>
        <v>ESCALAS DE ANÁLISE REGIONAL E TERRITORIAL</v>
      </c>
    </row>
    <row r="74">
      <c r="A74" s="21" t="s">
        <v>474</v>
      </c>
      <c r="B74" s="21" t="s">
        <v>476</v>
      </c>
      <c r="C74" s="21" t="s">
        <v>97</v>
      </c>
      <c r="D74" s="21">
        <v>4.0</v>
      </c>
      <c r="E74" s="21">
        <v>60.0</v>
      </c>
      <c r="F74" s="21">
        <v>0.0</v>
      </c>
      <c r="G74" s="22" t="s">
        <v>19</v>
      </c>
      <c r="H74" s="23" t="s">
        <v>300</v>
      </c>
      <c r="I74" s="23">
        <f t="shared" si="3"/>
        <v>1</v>
      </c>
      <c r="J74" s="23" t="str">
        <f t="shared" si="1"/>
        <v>
 - DIL01089 - FUNDAMENTOS E ORGANIZAÇÃO DE EMPRESAS DE SERVIÇOS</v>
      </c>
      <c r="K74" s="23" t="str">
        <f t="shared" si="2"/>
        <v>ESTRATÉGIA EM SERVIÇOS</v>
      </c>
    </row>
    <row r="75">
      <c r="A75" s="21" t="s">
        <v>480</v>
      </c>
      <c r="B75" s="21" t="s">
        <v>482</v>
      </c>
      <c r="C75" s="21" t="s">
        <v>97</v>
      </c>
      <c r="D75" s="21">
        <v>6.0</v>
      </c>
      <c r="E75" s="21">
        <v>90.0</v>
      </c>
      <c r="F75" s="21">
        <v>15.0</v>
      </c>
      <c r="G75" s="22" t="s">
        <v>25</v>
      </c>
      <c r="H75" s="23" t="s">
        <v>300</v>
      </c>
      <c r="I75" s="23">
        <f t="shared" si="3"/>
        <v>1</v>
      </c>
      <c r="J75" s="23" t="str">
        <f t="shared" si="1"/>
        <v>
 - DIL01354 - HISTÓRIA E FUNDAMENTOS DA GEOGRAFIA - A</v>
      </c>
      <c r="K75" s="23" t="str">
        <f t="shared" si="2"/>
        <v>GEOGRAFIA URBANA A</v>
      </c>
    </row>
    <row r="76">
      <c r="A76" s="21" t="s">
        <v>484</v>
      </c>
      <c r="B76" s="21" t="s">
        <v>485</v>
      </c>
      <c r="C76" s="21" t="s">
        <v>97</v>
      </c>
      <c r="D76" s="21">
        <v>4.0</v>
      </c>
      <c r="E76" s="21">
        <v>60.0</v>
      </c>
      <c r="F76" s="21">
        <v>0.0</v>
      </c>
      <c r="G76" s="22" t="s">
        <v>19</v>
      </c>
      <c r="H76" s="23" t="s">
        <v>300</v>
      </c>
      <c r="I76" s="23">
        <f t="shared" si="3"/>
        <v>1</v>
      </c>
      <c r="J76" s="23" t="str">
        <f t="shared" si="1"/>
        <v>
 - DIL01361 - SENSORIAMENTO REMOTO - A</v>
      </c>
      <c r="K76" s="23" t="str">
        <f t="shared" si="2"/>
        <v>GEOPROCESSAMENTO B</v>
      </c>
    </row>
    <row r="77">
      <c r="A77" s="21" t="s">
        <v>318</v>
      </c>
      <c r="B77" s="21" t="s">
        <v>320</v>
      </c>
      <c r="C77" s="21" t="s">
        <v>97</v>
      </c>
      <c r="D77" s="21">
        <v>2.0</v>
      </c>
      <c r="E77" s="21">
        <v>30.0</v>
      </c>
      <c r="F77" s="21">
        <v>3.0</v>
      </c>
      <c r="G77" s="22" t="s">
        <v>19</v>
      </c>
      <c r="H77" s="23" t="s">
        <v>300</v>
      </c>
      <c r="I77" s="23">
        <f t="shared" si="3"/>
        <v>3</v>
      </c>
      <c r="J77" s="23" t="str">
        <f t="shared" si="1"/>
        <v>
 - DIL01135 - EQUAÇÕES DIFERENCIAIS
 - e DIL01138 - CIRCUITOS ELÉTRICOS I
 - e DIL01139 - LABORATÓRIO DE CIRCUITOS ELÉTRICOS I</v>
      </c>
      <c r="K77" s="23" t="str">
        <f t="shared" si="2"/>
        <v>LABORATÓRIO DE CIRCUITOS ELÉTRICOS II</v>
      </c>
    </row>
    <row r="78">
      <c r="A78" s="21" t="s">
        <v>323</v>
      </c>
      <c r="B78" s="21" t="s">
        <v>324</v>
      </c>
      <c r="C78" s="21" t="s">
        <v>97</v>
      </c>
      <c r="D78" s="21">
        <v>4.0</v>
      </c>
      <c r="E78" s="21">
        <v>60.0</v>
      </c>
      <c r="F78" s="21">
        <v>0.0</v>
      </c>
      <c r="G78" s="22" t="s">
        <v>16</v>
      </c>
      <c r="H78" s="23" t="s">
        <v>300</v>
      </c>
      <c r="I78" s="23">
        <f t="shared" si="3"/>
        <v>0</v>
      </c>
      <c r="J78" s="23" t="str">
        <f t="shared" si="1"/>
        <v/>
      </c>
      <c r="K78" s="23" t="str">
        <f t="shared" si="2"/>
        <v>LÍNGUA BRASILEIRA DE SINAIS - LIBRAS</v>
      </c>
    </row>
    <row r="79">
      <c r="A79" s="21" t="s">
        <v>329</v>
      </c>
      <c r="B79" s="21" t="s">
        <v>330</v>
      </c>
      <c r="C79" s="21" t="s">
        <v>97</v>
      </c>
      <c r="D79" s="21">
        <v>4.0</v>
      </c>
      <c r="E79" s="21">
        <v>60.0</v>
      </c>
      <c r="F79" s="21">
        <v>0.0</v>
      </c>
      <c r="G79" s="22" t="s">
        <v>19</v>
      </c>
      <c r="H79" s="23" t="s">
        <v>300</v>
      </c>
      <c r="I79" s="23">
        <f t="shared" si="3"/>
        <v>1</v>
      </c>
      <c r="J79" s="23" t="str">
        <f t="shared" si="1"/>
        <v>
 - DIL01123 - FÍSICA PARA ENGENHARIA II</v>
      </c>
      <c r="K79" s="23" t="str">
        <f t="shared" si="2"/>
        <v>MÁQUINAS TÉRMICAS</v>
      </c>
    </row>
    <row r="80">
      <c r="A80" s="21" t="s">
        <v>496</v>
      </c>
      <c r="B80" s="21" t="s">
        <v>498</v>
      </c>
      <c r="C80" s="21" t="s">
        <v>97</v>
      </c>
      <c r="D80" s="21">
        <v>4.0</v>
      </c>
      <c r="E80" s="21">
        <v>60.0</v>
      </c>
      <c r="F80" s="21">
        <v>0.0</v>
      </c>
      <c r="G80" s="22" t="s">
        <v>19</v>
      </c>
      <c r="H80" s="23" t="s">
        <v>300</v>
      </c>
      <c r="I80" s="23">
        <f t="shared" si="3"/>
        <v>1</v>
      </c>
      <c r="J80" s="23" t="str">
        <f t="shared" si="1"/>
        <v>
 - DIL01159 - CIÊNCIA E TECNOLOGIA DOS MATERIAIS</v>
      </c>
      <c r="K80" s="23" t="str">
        <f t="shared" si="2"/>
        <v>MATERIAIS DE CONSTRUÇÃO</v>
      </c>
    </row>
    <row r="81">
      <c r="A81" s="21" t="s">
        <v>502</v>
      </c>
      <c r="B81" s="21" t="s">
        <v>503</v>
      </c>
      <c r="C81" s="21" t="s">
        <v>97</v>
      </c>
      <c r="D81" s="21">
        <v>4.0</v>
      </c>
      <c r="E81" s="21">
        <v>60.0</v>
      </c>
      <c r="F81" s="21">
        <v>60.0</v>
      </c>
      <c r="G81" s="22" t="s">
        <v>19</v>
      </c>
      <c r="H81" s="23" t="s">
        <v>300</v>
      </c>
      <c r="I81" s="23">
        <f t="shared" si="3"/>
        <v>1</v>
      </c>
      <c r="J81" s="23" t="str">
        <f t="shared" si="1"/>
        <v>
 - DIL01179 - PROJETO INTEGRADOR 1: DIAGNÓSTICO DO SETOR DE SERVIÇO DA REGIÃO</v>
      </c>
      <c r="K81" s="23" t="str">
        <f t="shared" si="2"/>
        <v>PROJETO INTEGRADOR 2: CONCEPÇÃO E DESENVOLVIMENTO DE SERVIÇOS</v>
      </c>
    </row>
    <row r="82">
      <c r="A82" s="21" t="s">
        <v>350</v>
      </c>
      <c r="B82" s="21" t="s">
        <v>351</v>
      </c>
      <c r="C82" s="21" t="s">
        <v>97</v>
      </c>
      <c r="D82" s="21">
        <v>4.0</v>
      </c>
      <c r="E82" s="21">
        <v>60.0</v>
      </c>
      <c r="F82" s="21">
        <v>6.0</v>
      </c>
      <c r="G82" s="22" t="s">
        <v>13</v>
      </c>
      <c r="H82" s="23" t="s">
        <v>300</v>
      </c>
      <c r="I82" s="23">
        <f t="shared" si="3"/>
        <v>0</v>
      </c>
      <c r="J82" s="23" t="str">
        <f t="shared" si="1"/>
        <v/>
      </c>
      <c r="K82" s="23" t="str">
        <f t="shared" si="2"/>
        <v>PROJETOS INTEGRADOS DE GESTÃO ESPACIAL</v>
      </c>
    </row>
    <row r="83">
      <c r="A83" s="21" t="s">
        <v>508</v>
      </c>
      <c r="B83" s="21" t="s">
        <v>509</v>
      </c>
      <c r="C83" s="21" t="s">
        <v>97</v>
      </c>
      <c r="D83" s="21">
        <v>4.0</v>
      </c>
      <c r="E83" s="21">
        <v>60.0</v>
      </c>
      <c r="F83" s="21">
        <v>0.0</v>
      </c>
      <c r="G83" s="22" t="s">
        <v>19</v>
      </c>
      <c r="H83" s="23" t="s">
        <v>300</v>
      </c>
      <c r="I83" s="23">
        <f t="shared" si="3"/>
        <v>1</v>
      </c>
      <c r="J83" s="23" t="str">
        <f t="shared" si="1"/>
        <v>
 - DIL01159 - CIÊNCIA E TECNOLOGIA DOS MATERIAIS</v>
      </c>
      <c r="K83" s="23" t="str">
        <f t="shared" si="2"/>
        <v>TÉCNICAS DE CONSTRUÇÃO - I</v>
      </c>
    </row>
    <row r="84">
      <c r="A84" s="21" t="s">
        <v>514</v>
      </c>
      <c r="B84" s="21" t="s">
        <v>515</v>
      </c>
      <c r="C84" s="21" t="s">
        <v>97</v>
      </c>
      <c r="D84" s="21">
        <v>4.0</v>
      </c>
      <c r="E84" s="21">
        <v>60.0</v>
      </c>
      <c r="F84" s="21">
        <v>30.0</v>
      </c>
      <c r="G84" s="22" t="s">
        <v>16</v>
      </c>
      <c r="H84" s="23" t="s">
        <v>355</v>
      </c>
      <c r="I84" s="23">
        <f t="shared" si="3"/>
        <v>1</v>
      </c>
      <c r="J84" s="23" t="str">
        <f t="shared" si="1"/>
        <v>
 - DIL01127 - EXPRESSÃO GRÁFICA</v>
      </c>
      <c r="K84" s="23" t="str">
        <f t="shared" si="2"/>
        <v>ACESSIBILIDADE EM SERVIÇOS</v>
      </c>
    </row>
    <row r="85">
      <c r="A85" s="21" t="s">
        <v>358</v>
      </c>
      <c r="B85" s="21" t="s">
        <v>360</v>
      </c>
      <c r="C85" s="21" t="s">
        <v>97</v>
      </c>
      <c r="D85" s="21">
        <v>4.0</v>
      </c>
      <c r="E85" s="21">
        <v>60.0</v>
      </c>
      <c r="F85" s="21">
        <v>6.0</v>
      </c>
      <c r="G85" s="22" t="s">
        <v>13</v>
      </c>
      <c r="H85" s="23" t="s">
        <v>355</v>
      </c>
      <c r="I85" s="23">
        <f t="shared" si="3"/>
        <v>0</v>
      </c>
      <c r="J85" s="23" t="str">
        <f t="shared" si="1"/>
        <v/>
      </c>
      <c r="K85" s="23" t="str">
        <f t="shared" si="2"/>
        <v>ANÁLISES GLOBAIS E POLÍTICAS REGIONAIS</v>
      </c>
    </row>
    <row r="86">
      <c r="A86" s="21" t="s">
        <v>363</v>
      </c>
      <c r="B86" s="21" t="s">
        <v>364</v>
      </c>
      <c r="C86" s="21" t="s">
        <v>97</v>
      </c>
      <c r="D86" s="21">
        <v>4.0</v>
      </c>
      <c r="E86" s="21">
        <v>60.0</v>
      </c>
      <c r="F86" s="21">
        <v>0.0</v>
      </c>
      <c r="G86" s="22" t="s">
        <v>16</v>
      </c>
      <c r="H86" s="23" t="s">
        <v>355</v>
      </c>
      <c r="I86" s="23">
        <f t="shared" si="3"/>
        <v>0</v>
      </c>
      <c r="J86" s="23" t="str">
        <f t="shared" si="1"/>
        <v/>
      </c>
      <c r="K86" s="23" t="str">
        <f t="shared" si="2"/>
        <v>CIÊNCIA, TECNOLOGIA E SOCIEDADE</v>
      </c>
    </row>
    <row r="87">
      <c r="A87" s="21" t="s">
        <v>372</v>
      </c>
      <c r="B87" s="21" t="s">
        <v>373</v>
      </c>
      <c r="C87" s="21" t="s">
        <v>97</v>
      </c>
      <c r="D87" s="21">
        <v>4.0</v>
      </c>
      <c r="E87" s="21">
        <v>60.0</v>
      </c>
      <c r="F87" s="21">
        <v>0.0</v>
      </c>
      <c r="G87" s="22" t="s">
        <v>19</v>
      </c>
      <c r="H87" s="23" t="s">
        <v>355</v>
      </c>
      <c r="I87" s="23">
        <f t="shared" si="3"/>
        <v>2</v>
      </c>
      <c r="J87" s="23" t="str">
        <f t="shared" si="1"/>
        <v>
 - DIL01125 - FUNDAMENTOS DO ELETROMAGNETISMO
 - e DIL01150 - CIRCUITOS ELÉTRICOS II</v>
      </c>
      <c r="K87" s="23" t="str">
        <f t="shared" si="2"/>
        <v>CONVERSÃO DE ENERGIA E MÁQUINAS ELÉTRICAS</v>
      </c>
    </row>
    <row r="88">
      <c r="A88" s="21" t="s">
        <v>522</v>
      </c>
      <c r="B88" s="21" t="s">
        <v>524</v>
      </c>
      <c r="C88" s="21" t="s">
        <v>97</v>
      </c>
      <c r="D88" s="21">
        <v>4.0</v>
      </c>
      <c r="E88" s="21">
        <v>60.0</v>
      </c>
      <c r="F88" s="21">
        <v>0.0</v>
      </c>
      <c r="G88" s="22" t="s">
        <v>19</v>
      </c>
      <c r="H88" s="23" t="s">
        <v>355</v>
      </c>
      <c r="I88" s="23">
        <f t="shared" si="3"/>
        <v>1</v>
      </c>
      <c r="J88" s="23" t="str">
        <f t="shared" si="1"/>
        <v>
 - DIL01188 - ESTRATÉGIA EM SERVIÇOS</v>
      </c>
      <c r="K88" s="23" t="str">
        <f t="shared" si="2"/>
        <v>DEMANDA E CAPACIDADE EM SERVIÇOS</v>
      </c>
    </row>
    <row r="89">
      <c r="A89" s="21" t="s">
        <v>528</v>
      </c>
      <c r="B89" s="21" t="s">
        <v>529</v>
      </c>
      <c r="C89" s="21" t="s">
        <v>97</v>
      </c>
      <c r="D89" s="21">
        <v>4.0</v>
      </c>
      <c r="E89" s="21">
        <v>60.0</v>
      </c>
      <c r="F89" s="21">
        <v>0.0</v>
      </c>
      <c r="G89" s="22" t="s">
        <v>19</v>
      </c>
      <c r="H89" s="23" t="s">
        <v>355</v>
      </c>
      <c r="I89" s="23">
        <f t="shared" si="3"/>
        <v>2</v>
      </c>
      <c r="J89" s="23" t="str">
        <f t="shared" si="1"/>
        <v>
 - DIL01182 - MATERIAIS DE CONSTRUÇÃO
 - e DIL01187 - TÉCNICAS DE CONSTRUÇÃO - I</v>
      </c>
      <c r="K89" s="23" t="str">
        <f t="shared" si="2"/>
        <v>DESEMPENHO DAS EDIFICAÇÕES I: ENERGIA</v>
      </c>
    </row>
    <row r="90">
      <c r="A90" s="21" t="s">
        <v>377</v>
      </c>
      <c r="B90" s="21" t="s">
        <v>378</v>
      </c>
      <c r="C90" s="21" t="s">
        <v>97</v>
      </c>
      <c r="D90" s="21">
        <v>4.0</v>
      </c>
      <c r="E90" s="21">
        <v>60.0</v>
      </c>
      <c r="F90" s="21">
        <v>0.0</v>
      </c>
      <c r="G90" s="22" t="s">
        <v>19</v>
      </c>
      <c r="H90" s="23" t="s">
        <v>355</v>
      </c>
      <c r="I90" s="23">
        <f t="shared" si="3"/>
        <v>1</v>
      </c>
      <c r="J90" s="23" t="str">
        <f t="shared" si="1"/>
        <v>
 - DIL01112 - ESTATÍSTICA I</v>
      </c>
      <c r="K90" s="23" t="str">
        <f t="shared" si="2"/>
        <v>ENGENHARIA ECONÔMICA</v>
      </c>
    </row>
    <row r="91">
      <c r="A91" s="21" t="s">
        <v>384</v>
      </c>
      <c r="B91" s="21" t="s">
        <v>385</v>
      </c>
      <c r="C91" s="21" t="s">
        <v>97</v>
      </c>
      <c r="D91" s="21">
        <v>4.0</v>
      </c>
      <c r="E91" s="21">
        <v>60.0</v>
      </c>
      <c r="F91" s="21">
        <v>0.0</v>
      </c>
      <c r="G91" s="22" t="s">
        <v>19</v>
      </c>
      <c r="H91" s="23" t="s">
        <v>355</v>
      </c>
      <c r="I91" s="23">
        <f t="shared" si="3"/>
        <v>2</v>
      </c>
      <c r="J91" s="23" t="str">
        <f t="shared" si="1"/>
        <v>
 - DIL01135 - EQUAÇÕES DIFERENCIAIS
 - e DIL01152 - MÁQUINAS TÉRMICAS</v>
      </c>
      <c r="K91" s="23" t="str">
        <f t="shared" si="2"/>
        <v>FENÔMENOS DE TRANSPORTE A</v>
      </c>
    </row>
    <row r="92">
      <c r="A92" s="21" t="s">
        <v>533</v>
      </c>
      <c r="B92" s="21" t="s">
        <v>534</v>
      </c>
      <c r="C92" s="21" t="s">
        <v>97</v>
      </c>
      <c r="D92" s="21">
        <v>6.0</v>
      </c>
      <c r="E92" s="21">
        <v>90.0</v>
      </c>
      <c r="F92" s="21">
        <v>15.0</v>
      </c>
      <c r="G92" s="22" t="s">
        <v>16</v>
      </c>
      <c r="H92" s="23" t="s">
        <v>355</v>
      </c>
      <c r="I92" s="23">
        <f t="shared" si="3"/>
        <v>3</v>
      </c>
      <c r="J92" s="23" t="str">
        <f t="shared" si="1"/>
        <v>
 - DIL01066 - GEOGRAFIA AGRÁRIA - A
 - e DIL01070 - GEOGRAFIA URBANA A
 - e DIL01153 - GEOGRAFIA ECONÔMICA E HUMANA A</v>
      </c>
      <c r="K92" s="23" t="str">
        <f t="shared" si="2"/>
        <v>GEOGRAFIA DO BRASIL A</v>
      </c>
    </row>
    <row r="93">
      <c r="A93" s="21" t="s">
        <v>535</v>
      </c>
      <c r="B93" s="21" t="s">
        <v>536</v>
      </c>
      <c r="C93" s="21" t="s">
        <v>97</v>
      </c>
      <c r="D93" s="21">
        <v>6.0</v>
      </c>
      <c r="E93" s="21">
        <v>90.0</v>
      </c>
      <c r="F93" s="21">
        <v>15.0</v>
      </c>
      <c r="G93" s="22" t="s">
        <v>13</v>
      </c>
      <c r="H93" s="23" t="s">
        <v>355</v>
      </c>
      <c r="I93" s="23">
        <f t="shared" si="3"/>
        <v>0</v>
      </c>
      <c r="J93" s="23" t="str">
        <f t="shared" si="1"/>
        <v/>
      </c>
      <c r="K93" s="23" t="str">
        <f t="shared" si="2"/>
        <v>GEOGRAFIA POLÍTICA A</v>
      </c>
    </row>
    <row r="94">
      <c r="A94" s="21" t="s">
        <v>563</v>
      </c>
      <c r="B94" s="21" t="s">
        <v>564</v>
      </c>
      <c r="C94" s="21" t="s">
        <v>97</v>
      </c>
      <c r="D94" s="21">
        <v>6.0</v>
      </c>
      <c r="E94" s="21">
        <v>90.0</v>
      </c>
      <c r="F94" s="21">
        <v>0.0</v>
      </c>
      <c r="G94" s="22" t="s">
        <v>25</v>
      </c>
      <c r="H94" s="23" t="s">
        <v>355</v>
      </c>
      <c r="I94" s="23">
        <f t="shared" si="3"/>
        <v>1</v>
      </c>
      <c r="J94" s="23" t="str">
        <f t="shared" si="1"/>
        <v>
 - DIL01133 - GEOMORFOLOGIA E AMBIENTES A</v>
      </c>
      <c r="K94" s="23" t="str">
        <f t="shared" si="2"/>
        <v>GEOMORFOLOGIA E AMBIENTES II</v>
      </c>
    </row>
    <row r="95">
      <c r="A95" s="21" t="s">
        <v>390</v>
      </c>
      <c r="B95" s="21" t="s">
        <v>391</v>
      </c>
      <c r="C95" s="21" t="s">
        <v>97</v>
      </c>
      <c r="D95" s="21">
        <v>4.0</v>
      </c>
      <c r="E95" s="21">
        <v>60.0</v>
      </c>
      <c r="F95" s="21">
        <v>12.0</v>
      </c>
      <c r="G95" s="22" t="s">
        <v>16</v>
      </c>
      <c r="H95" s="23" t="s">
        <v>355</v>
      </c>
      <c r="I95" s="23">
        <f t="shared" si="3"/>
        <v>0</v>
      </c>
      <c r="J95" s="23" t="str">
        <f t="shared" si="1"/>
        <v/>
      </c>
      <c r="K95" s="23" t="str">
        <f t="shared" si="2"/>
        <v>GESTÃO E PLANEJAMENTO PARA O DESENVOLVIMENTO REGIONAL</v>
      </c>
    </row>
    <row r="96">
      <c r="A96" s="21" t="s">
        <v>397</v>
      </c>
      <c r="B96" s="21" t="s">
        <v>398</v>
      </c>
      <c r="C96" s="21" t="s">
        <v>97</v>
      </c>
      <c r="D96" s="21">
        <v>2.0</v>
      </c>
      <c r="E96" s="21">
        <v>30.0</v>
      </c>
      <c r="F96" s="21">
        <v>0.0</v>
      </c>
      <c r="G96" s="22" t="s">
        <v>19</v>
      </c>
      <c r="H96" s="23" t="s">
        <v>355</v>
      </c>
      <c r="I96" s="23">
        <f t="shared" si="3"/>
        <v>2</v>
      </c>
      <c r="J96" s="23" t="str">
        <f t="shared" si="1"/>
        <v>
 - DIL01125 - FUNDAMENTOS DO ELETROMAGNETISMO
 - e DIL01150 - CIRCUITOS ELÉTRICOS II</v>
      </c>
      <c r="K96" s="23" t="str">
        <f t="shared" si="2"/>
        <v>LABORATÓRIO DE CONVERSÃO DE ENERGIA E MÁQUINAS ELÉTRICAS</v>
      </c>
    </row>
    <row r="97">
      <c r="A97" s="21" t="s">
        <v>403</v>
      </c>
      <c r="B97" s="21" t="s">
        <v>405</v>
      </c>
      <c r="C97" s="21" t="s">
        <v>97</v>
      </c>
      <c r="D97" s="21">
        <v>2.0</v>
      </c>
      <c r="E97" s="21">
        <v>30.0</v>
      </c>
      <c r="F97" s="21">
        <v>5.0</v>
      </c>
      <c r="G97" s="22" t="s">
        <v>19</v>
      </c>
      <c r="H97" s="23" t="s">
        <v>355</v>
      </c>
      <c r="I97" s="23">
        <f t="shared" si="3"/>
        <v>2</v>
      </c>
      <c r="J97" s="23" t="str">
        <f t="shared" si="1"/>
        <v>
 - DIL01135 - EQUAÇÕES DIFERENCIAIS
 - e DIL01152 - MÁQUINAS TÉRMICAS</v>
      </c>
      <c r="K97" s="23" t="str">
        <f t="shared" si="2"/>
        <v>LABORATÓRIO DE FENÔMENOS DE TRANSPORTE - A</v>
      </c>
    </row>
    <row r="98">
      <c r="A98" s="21" t="s">
        <v>343</v>
      </c>
      <c r="B98" s="21" t="s">
        <v>344</v>
      </c>
      <c r="C98" s="21" t="s">
        <v>97</v>
      </c>
      <c r="D98" s="21">
        <v>4.0</v>
      </c>
      <c r="E98" s="21">
        <v>60.0</v>
      </c>
      <c r="F98" s="21">
        <v>0.0</v>
      </c>
      <c r="G98" s="22" t="s">
        <v>19</v>
      </c>
      <c r="H98" s="23" t="s">
        <v>355</v>
      </c>
      <c r="I98" s="23">
        <f t="shared" si="3"/>
        <v>2</v>
      </c>
      <c r="J98" s="23" t="str">
        <f t="shared" si="1"/>
        <v>
 - DIL01112 - ESTATÍSTICA I
 - e DIL01113 - CÁLCULO DIFERENCIAL E INTEGRAL I</v>
      </c>
      <c r="K98" s="23" t="str">
        <f t="shared" si="2"/>
        <v>PESQUISA OPERACIONAL</v>
      </c>
    </row>
    <row r="99">
      <c r="A99" s="21" t="s">
        <v>409</v>
      </c>
      <c r="B99" s="21" t="s">
        <v>410</v>
      </c>
      <c r="C99" s="21" t="s">
        <v>97</v>
      </c>
      <c r="D99" s="21">
        <v>4.0</v>
      </c>
      <c r="E99" s="21">
        <v>60.0</v>
      </c>
      <c r="F99" s="21">
        <v>6.0</v>
      </c>
      <c r="G99" s="22" t="s">
        <v>16</v>
      </c>
      <c r="H99" s="23" t="s">
        <v>355</v>
      </c>
      <c r="I99" s="23">
        <f t="shared" si="3"/>
        <v>0</v>
      </c>
      <c r="J99" s="23" t="str">
        <f t="shared" si="1"/>
        <v/>
      </c>
      <c r="K99" s="23" t="str">
        <f t="shared" si="2"/>
        <v>SISTEMAS COMPLEXOS E DESENVOLVIMENTO REGIONAL</v>
      </c>
    </row>
    <row r="100">
      <c r="A100" s="21" t="s">
        <v>537</v>
      </c>
      <c r="B100" s="21" t="s">
        <v>538</v>
      </c>
      <c r="C100" s="21" t="s">
        <v>97</v>
      </c>
      <c r="D100" s="21">
        <v>4.0</v>
      </c>
      <c r="E100" s="21">
        <v>60.0</v>
      </c>
      <c r="F100" s="21">
        <v>0.0</v>
      </c>
      <c r="G100" s="22" t="s">
        <v>19</v>
      </c>
      <c r="H100" s="23" t="s">
        <v>355</v>
      </c>
      <c r="I100" s="23">
        <f t="shared" si="3"/>
        <v>2</v>
      </c>
      <c r="J100" s="23" t="str">
        <f t="shared" si="1"/>
        <v>
 - DIL01182 - MATERIAIS DE CONSTRUÇÃO
 - e DIL01187 - TÉCNICAS DE CONSTRUÇÃO - I</v>
      </c>
      <c r="K100" s="23" t="str">
        <f t="shared" si="2"/>
        <v>TÉCNICAS DE CONSTRUÇÃO II</v>
      </c>
    </row>
    <row r="101">
      <c r="A101" s="21" t="s">
        <v>583</v>
      </c>
      <c r="B101" s="21" t="s">
        <v>585</v>
      </c>
      <c r="C101" s="21" t="s">
        <v>97</v>
      </c>
      <c r="D101" s="21">
        <v>4.0</v>
      </c>
      <c r="E101" s="21">
        <v>60.0</v>
      </c>
      <c r="F101" s="21">
        <v>12.0</v>
      </c>
      <c r="G101" s="22" t="s">
        <v>16</v>
      </c>
      <c r="H101" s="23" t="s">
        <v>355</v>
      </c>
      <c r="I101" s="23">
        <f t="shared" si="3"/>
        <v>0</v>
      </c>
      <c r="J101" s="23" t="str">
        <f t="shared" si="1"/>
        <v/>
      </c>
      <c r="K101" s="23" t="str">
        <f t="shared" si="2"/>
        <v>TRABALHO DE CAMPO INTEGRADO</v>
      </c>
    </row>
    <row r="102">
      <c r="H102" s="23"/>
      <c r="I102" s="23"/>
      <c r="J102" s="23"/>
    </row>
    <row r="103">
      <c r="H103" s="23"/>
      <c r="I103" s="23"/>
      <c r="J103" s="23"/>
    </row>
    <row r="104">
      <c r="H104" s="23"/>
      <c r="I104" s="23"/>
      <c r="J104" s="23"/>
    </row>
    <row r="105">
      <c r="H105" s="23"/>
      <c r="I105" s="23"/>
      <c r="J105" s="23"/>
    </row>
    <row r="106">
      <c r="H106" s="23"/>
      <c r="I106" s="23"/>
      <c r="J106" s="23"/>
    </row>
    <row r="107">
      <c r="H107" s="23"/>
      <c r="I107" s="23"/>
      <c r="J107" s="23"/>
    </row>
    <row r="108">
      <c r="H108" s="23"/>
      <c r="I108" s="23"/>
      <c r="J108" s="23"/>
    </row>
    <row r="109">
      <c r="H109" s="23"/>
      <c r="I109" s="23"/>
      <c r="J109" s="23"/>
    </row>
    <row r="110">
      <c r="H110" s="23"/>
      <c r="I110" s="23"/>
      <c r="J110" s="23"/>
    </row>
    <row r="111">
      <c r="H111" s="23"/>
      <c r="I111" s="23"/>
      <c r="J111" s="23"/>
    </row>
    <row r="112">
      <c r="H112" s="23"/>
      <c r="I112" s="23"/>
      <c r="J112" s="23"/>
    </row>
    <row r="113">
      <c r="H113" s="23"/>
      <c r="I113" s="23"/>
      <c r="J113" s="23"/>
    </row>
    <row r="114">
      <c r="H114" s="23"/>
      <c r="I114" s="23"/>
      <c r="J114" s="23"/>
    </row>
    <row r="115">
      <c r="H115" s="23"/>
      <c r="I115" s="23"/>
      <c r="J115" s="23"/>
    </row>
    <row r="116">
      <c r="H116" s="23"/>
      <c r="I116" s="23"/>
      <c r="J116" s="23"/>
    </row>
    <row r="117">
      <c r="H117" s="23"/>
      <c r="I117" s="23"/>
      <c r="J117" s="23"/>
    </row>
    <row r="118">
      <c r="H118" s="23"/>
      <c r="I118" s="23"/>
      <c r="J118" s="23"/>
    </row>
    <row r="119">
      <c r="H119" s="23"/>
      <c r="I119" s="23"/>
      <c r="J119" s="23"/>
    </row>
    <row r="120">
      <c r="H120" s="23"/>
      <c r="I120" s="23"/>
      <c r="J120" s="23"/>
    </row>
    <row r="121">
      <c r="H121" s="23"/>
      <c r="I121" s="23"/>
      <c r="J121" s="23"/>
    </row>
    <row r="122">
      <c r="H122" s="23"/>
      <c r="I122" s="23"/>
      <c r="J122" s="23"/>
    </row>
    <row r="123">
      <c r="H123" s="23"/>
      <c r="I123" s="23"/>
      <c r="J123" s="23"/>
    </row>
    <row r="124">
      <c r="H124" s="23"/>
      <c r="I124" s="23"/>
      <c r="J124" s="23"/>
    </row>
    <row r="125">
      <c r="H125" s="23"/>
      <c r="I125" s="23"/>
      <c r="J125" s="23"/>
    </row>
    <row r="126">
      <c r="H126" s="23"/>
      <c r="I126" s="23"/>
      <c r="J126" s="23"/>
    </row>
    <row r="127">
      <c r="H127" s="23"/>
      <c r="I127" s="23"/>
      <c r="J127" s="23"/>
    </row>
    <row r="128">
      <c r="H128" s="23"/>
      <c r="I128" s="23"/>
      <c r="J128" s="23"/>
    </row>
    <row r="129">
      <c r="H129" s="23"/>
      <c r="I129" s="23"/>
      <c r="J129" s="23"/>
    </row>
    <row r="130">
      <c r="H130" s="23"/>
      <c r="I130" s="23"/>
      <c r="J130" s="23"/>
    </row>
    <row r="131">
      <c r="H131" s="23"/>
      <c r="I131" s="23"/>
      <c r="J131" s="23"/>
    </row>
    <row r="132">
      <c r="H132" s="23"/>
      <c r="I132" s="23"/>
      <c r="J132" s="23"/>
    </row>
    <row r="133">
      <c r="H133" s="23"/>
      <c r="I133" s="23"/>
      <c r="J133" s="23"/>
    </row>
    <row r="134">
      <c r="H134" s="23"/>
      <c r="I134" s="23"/>
      <c r="J134" s="23"/>
    </row>
    <row r="135">
      <c r="H135" s="23"/>
      <c r="I135" s="23"/>
      <c r="J135" s="23"/>
    </row>
    <row r="136">
      <c r="H136" s="23"/>
      <c r="I136" s="23"/>
      <c r="J136" s="23"/>
    </row>
    <row r="137">
      <c r="H137" s="23"/>
      <c r="I137" s="23"/>
      <c r="J137" s="23"/>
    </row>
    <row r="138">
      <c r="H138" s="23"/>
      <c r="I138" s="23"/>
      <c r="J138" s="23"/>
    </row>
    <row r="139">
      <c r="H139" s="23"/>
      <c r="I139" s="23"/>
      <c r="J139" s="23"/>
    </row>
    <row r="140">
      <c r="H140" s="23"/>
      <c r="I140" s="23"/>
      <c r="J140" s="23"/>
    </row>
    <row r="141">
      <c r="H141" s="23"/>
      <c r="I141" s="23"/>
      <c r="J141" s="23"/>
    </row>
    <row r="142">
      <c r="H142" s="23"/>
      <c r="I142" s="23"/>
      <c r="J142" s="23"/>
    </row>
    <row r="143">
      <c r="H143" s="23"/>
      <c r="I143" s="23"/>
      <c r="J143" s="23"/>
    </row>
    <row r="144">
      <c r="H144" s="23"/>
      <c r="I144" s="23"/>
      <c r="J144" s="23"/>
    </row>
    <row r="145">
      <c r="H145" s="23"/>
      <c r="I145" s="23"/>
      <c r="J145" s="23"/>
    </row>
    <row r="146">
      <c r="H146" s="23"/>
      <c r="I146" s="23"/>
      <c r="J146" s="23"/>
    </row>
    <row r="147">
      <c r="H147" s="23"/>
      <c r="I147" s="23"/>
      <c r="J147" s="23"/>
    </row>
    <row r="148">
      <c r="H148" s="23"/>
      <c r="I148" s="23"/>
      <c r="J148" s="23"/>
    </row>
    <row r="149">
      <c r="H149" s="23"/>
      <c r="I149" s="23"/>
      <c r="J149" s="23"/>
    </row>
    <row r="150">
      <c r="H150" s="23"/>
      <c r="I150" s="23"/>
      <c r="J150" s="23"/>
    </row>
    <row r="151">
      <c r="H151" s="23"/>
      <c r="I151" s="23"/>
      <c r="J151" s="23"/>
    </row>
    <row r="152">
      <c r="H152" s="23"/>
      <c r="I152" s="23"/>
      <c r="J152" s="23"/>
    </row>
    <row r="153">
      <c r="H153" s="23"/>
      <c r="I153" s="23"/>
      <c r="J153" s="23"/>
    </row>
    <row r="154">
      <c r="H154" s="23"/>
      <c r="I154" s="23"/>
      <c r="J154" s="23"/>
    </row>
    <row r="155">
      <c r="H155" s="23"/>
      <c r="I155" s="23"/>
      <c r="J155" s="23"/>
    </row>
    <row r="156">
      <c r="H156" s="23"/>
      <c r="I156" s="23"/>
      <c r="J156" s="23"/>
    </row>
    <row r="157">
      <c r="H157" s="23"/>
      <c r="I157" s="23"/>
      <c r="J157" s="23"/>
    </row>
    <row r="158">
      <c r="H158" s="23"/>
      <c r="I158" s="23"/>
      <c r="J158" s="23"/>
    </row>
    <row r="159">
      <c r="H159" s="23"/>
      <c r="I159" s="23"/>
      <c r="J159" s="23"/>
    </row>
    <row r="160">
      <c r="H160" s="23"/>
      <c r="I160" s="23"/>
      <c r="J160" s="23"/>
    </row>
    <row r="161">
      <c r="H161" s="23"/>
      <c r="I161" s="23"/>
      <c r="J161" s="23"/>
    </row>
    <row r="162">
      <c r="H162" s="23"/>
      <c r="I162" s="23"/>
      <c r="J162" s="23"/>
    </row>
    <row r="163">
      <c r="H163" s="23"/>
      <c r="I163" s="23"/>
      <c r="J163" s="23"/>
    </row>
    <row r="164">
      <c r="H164" s="23"/>
      <c r="I164" s="23"/>
      <c r="J164" s="23"/>
    </row>
    <row r="165">
      <c r="H165" s="23"/>
      <c r="I165" s="23"/>
      <c r="J165" s="23"/>
    </row>
    <row r="166">
      <c r="H166" s="23"/>
      <c r="I166" s="23"/>
      <c r="J166" s="23"/>
    </row>
    <row r="167">
      <c r="H167" s="23"/>
      <c r="I167" s="23"/>
      <c r="J167" s="23"/>
    </row>
    <row r="168">
      <c r="H168" s="23"/>
      <c r="I168" s="23"/>
      <c r="J168" s="23"/>
    </row>
    <row r="169">
      <c r="H169" s="23"/>
      <c r="I169" s="23"/>
      <c r="J169" s="23"/>
    </row>
    <row r="170">
      <c r="H170" s="23"/>
      <c r="I170" s="23"/>
      <c r="J170" s="23"/>
    </row>
    <row r="171">
      <c r="H171" s="23"/>
      <c r="I171" s="23"/>
      <c r="J171" s="23"/>
    </row>
    <row r="172">
      <c r="H172" s="23"/>
      <c r="I172" s="23"/>
      <c r="J172" s="23"/>
    </row>
    <row r="173">
      <c r="H173" s="23"/>
      <c r="I173" s="23"/>
      <c r="J173" s="23"/>
    </row>
    <row r="174">
      <c r="H174" s="23"/>
      <c r="I174" s="23"/>
      <c r="J174" s="23"/>
    </row>
    <row r="175">
      <c r="H175" s="23"/>
      <c r="I175" s="23"/>
      <c r="J175" s="23"/>
    </row>
    <row r="176">
      <c r="H176" s="23"/>
      <c r="I176" s="23"/>
      <c r="J176" s="23"/>
    </row>
    <row r="177">
      <c r="H177" s="23"/>
      <c r="I177" s="23"/>
      <c r="J177" s="23"/>
    </row>
    <row r="178">
      <c r="H178" s="23"/>
      <c r="I178" s="23"/>
      <c r="J178" s="23"/>
    </row>
    <row r="179">
      <c r="H179" s="23"/>
      <c r="I179" s="23"/>
      <c r="J179" s="23"/>
    </row>
    <row r="180">
      <c r="H180" s="23"/>
      <c r="I180" s="23"/>
      <c r="J180" s="23"/>
    </row>
    <row r="181">
      <c r="H181" s="23"/>
      <c r="I181" s="23"/>
      <c r="J181" s="23"/>
    </row>
    <row r="182">
      <c r="H182" s="23"/>
      <c r="I182" s="23"/>
      <c r="J182" s="23"/>
    </row>
    <row r="183">
      <c r="H183" s="23"/>
      <c r="I183" s="23"/>
      <c r="J183" s="23"/>
    </row>
    <row r="184">
      <c r="H184" s="23"/>
      <c r="I184" s="23"/>
      <c r="J184" s="23"/>
    </row>
    <row r="185">
      <c r="H185" s="23"/>
      <c r="I185" s="23"/>
      <c r="J185" s="23"/>
    </row>
    <row r="186">
      <c r="H186" s="23"/>
      <c r="I186" s="23"/>
      <c r="J186" s="23"/>
    </row>
    <row r="187">
      <c r="H187" s="23"/>
      <c r="I187" s="23"/>
      <c r="J187" s="23"/>
    </row>
    <row r="188">
      <c r="H188" s="23"/>
      <c r="I188" s="23"/>
      <c r="J188" s="23"/>
    </row>
    <row r="189">
      <c r="H189" s="23"/>
      <c r="I189" s="23"/>
      <c r="J189" s="23"/>
    </row>
    <row r="190">
      <c r="H190" s="23"/>
      <c r="I190" s="23"/>
      <c r="J190" s="23"/>
    </row>
    <row r="191">
      <c r="H191" s="23"/>
      <c r="I191" s="23"/>
      <c r="J191" s="23"/>
    </row>
    <row r="192">
      <c r="H192" s="23"/>
      <c r="I192" s="23"/>
      <c r="J192" s="23"/>
    </row>
    <row r="193">
      <c r="H193" s="23"/>
      <c r="I193" s="23"/>
      <c r="J193" s="23"/>
    </row>
    <row r="194">
      <c r="H194" s="23"/>
      <c r="I194" s="23"/>
      <c r="J194" s="23"/>
    </row>
    <row r="195">
      <c r="H195" s="23"/>
      <c r="I195" s="23"/>
      <c r="J195" s="23"/>
    </row>
    <row r="196">
      <c r="H196" s="23"/>
      <c r="I196" s="23"/>
      <c r="J196" s="23"/>
    </row>
    <row r="197">
      <c r="H197" s="23"/>
      <c r="I197" s="23"/>
      <c r="J197" s="23"/>
    </row>
    <row r="198">
      <c r="H198" s="23"/>
      <c r="I198" s="23"/>
      <c r="J198" s="23"/>
    </row>
    <row r="199">
      <c r="H199" s="23"/>
      <c r="I199" s="23"/>
      <c r="J199" s="23"/>
    </row>
    <row r="200">
      <c r="H200" s="23"/>
      <c r="I200" s="23"/>
      <c r="J200" s="23"/>
    </row>
    <row r="201">
      <c r="H201" s="23"/>
      <c r="I201" s="23"/>
      <c r="J201" s="23"/>
    </row>
    <row r="202">
      <c r="H202" s="23"/>
      <c r="I202" s="23"/>
      <c r="J202" s="23"/>
    </row>
    <row r="203">
      <c r="H203" s="23"/>
      <c r="I203" s="23"/>
      <c r="J203" s="23"/>
    </row>
    <row r="204">
      <c r="H204" s="23"/>
      <c r="I204" s="23"/>
      <c r="J204" s="23"/>
    </row>
    <row r="205">
      <c r="H205" s="23"/>
      <c r="I205" s="23"/>
      <c r="J205" s="23"/>
    </row>
    <row r="206">
      <c r="H206" s="23"/>
      <c r="I206" s="23"/>
      <c r="J206" s="23"/>
    </row>
    <row r="207">
      <c r="H207" s="23"/>
      <c r="I207" s="23"/>
      <c r="J207" s="23"/>
    </row>
    <row r="208">
      <c r="H208" s="23"/>
      <c r="I208" s="23"/>
      <c r="J208" s="23"/>
    </row>
    <row r="209">
      <c r="H209" s="23"/>
      <c r="I209" s="23"/>
      <c r="J209" s="23"/>
    </row>
    <row r="210">
      <c r="H210" s="23"/>
      <c r="I210" s="23"/>
      <c r="J210" s="23"/>
    </row>
    <row r="211">
      <c r="H211" s="23"/>
      <c r="I211" s="23"/>
      <c r="J211" s="23"/>
    </row>
    <row r="212">
      <c r="H212" s="23"/>
      <c r="I212" s="23"/>
      <c r="J212" s="23"/>
    </row>
    <row r="213">
      <c r="H213" s="23"/>
      <c r="I213" s="23"/>
      <c r="J213" s="23"/>
    </row>
    <row r="214">
      <c r="H214" s="23"/>
      <c r="I214" s="23"/>
      <c r="J214" s="23"/>
    </row>
    <row r="215">
      <c r="H215" s="23"/>
      <c r="I215" s="23"/>
      <c r="J215" s="23"/>
    </row>
    <row r="216">
      <c r="H216" s="23"/>
      <c r="I216" s="23"/>
      <c r="J216" s="23"/>
    </row>
    <row r="217">
      <c r="H217" s="23"/>
      <c r="I217" s="23"/>
      <c r="J217" s="23"/>
    </row>
    <row r="218">
      <c r="H218" s="23"/>
      <c r="I218" s="23"/>
      <c r="J218" s="23"/>
    </row>
    <row r="219">
      <c r="H219" s="23"/>
      <c r="I219" s="23"/>
      <c r="J219" s="23"/>
    </row>
    <row r="220">
      <c r="H220" s="23"/>
      <c r="I220" s="23"/>
      <c r="J220" s="23"/>
    </row>
    <row r="221">
      <c r="H221" s="23"/>
      <c r="I221" s="23"/>
      <c r="J221" s="23"/>
    </row>
    <row r="222">
      <c r="H222" s="23"/>
      <c r="I222" s="23"/>
      <c r="J222" s="23"/>
    </row>
    <row r="223">
      <c r="H223" s="23"/>
      <c r="I223" s="23"/>
      <c r="J223" s="23"/>
    </row>
    <row r="224">
      <c r="H224" s="23"/>
      <c r="I224" s="23"/>
      <c r="J224" s="23"/>
    </row>
    <row r="225">
      <c r="H225" s="23"/>
      <c r="I225" s="23"/>
      <c r="J225" s="23"/>
    </row>
    <row r="226">
      <c r="H226" s="23"/>
      <c r="I226" s="23"/>
      <c r="J226" s="23"/>
    </row>
    <row r="227">
      <c r="H227" s="23"/>
      <c r="I227" s="23"/>
      <c r="J227" s="23"/>
    </row>
    <row r="228">
      <c r="H228" s="23"/>
      <c r="I228" s="23"/>
      <c r="J228" s="23"/>
    </row>
    <row r="229">
      <c r="H229" s="23"/>
      <c r="I229" s="23"/>
      <c r="J229" s="23"/>
    </row>
    <row r="230">
      <c r="H230" s="23"/>
      <c r="I230" s="23"/>
      <c r="J230" s="23"/>
    </row>
    <row r="231">
      <c r="H231" s="23"/>
      <c r="I231" s="23"/>
      <c r="J231" s="23"/>
    </row>
    <row r="232">
      <c r="H232" s="23"/>
      <c r="I232" s="23"/>
      <c r="J232" s="23"/>
    </row>
    <row r="233">
      <c r="H233" s="23"/>
      <c r="I233" s="23"/>
      <c r="J233" s="23"/>
    </row>
    <row r="234">
      <c r="H234" s="23"/>
      <c r="I234" s="23"/>
      <c r="J234" s="23"/>
    </row>
    <row r="235">
      <c r="H235" s="23"/>
      <c r="I235" s="23"/>
      <c r="J235" s="23"/>
    </row>
    <row r="236">
      <c r="H236" s="23"/>
      <c r="I236" s="23"/>
      <c r="J236" s="23"/>
    </row>
    <row r="237">
      <c r="H237" s="23"/>
      <c r="I237" s="23"/>
      <c r="J237" s="23"/>
    </row>
    <row r="238">
      <c r="H238" s="23"/>
      <c r="I238" s="23"/>
      <c r="J238" s="23"/>
    </row>
    <row r="239">
      <c r="H239" s="23"/>
      <c r="I239" s="23"/>
      <c r="J239" s="23"/>
    </row>
    <row r="240">
      <c r="H240" s="23"/>
      <c r="I240" s="23"/>
      <c r="J240" s="23"/>
    </row>
    <row r="241">
      <c r="H241" s="23"/>
      <c r="I241" s="23"/>
      <c r="J241" s="23"/>
    </row>
    <row r="242">
      <c r="H242" s="23"/>
      <c r="I242" s="23"/>
      <c r="J242" s="23"/>
    </row>
    <row r="243">
      <c r="H243" s="23"/>
      <c r="I243" s="23"/>
      <c r="J243" s="23"/>
    </row>
    <row r="244">
      <c r="H244" s="23"/>
      <c r="I244" s="23"/>
      <c r="J244" s="23"/>
    </row>
    <row r="245">
      <c r="H245" s="23"/>
      <c r="I245" s="23"/>
      <c r="J245" s="23"/>
    </row>
    <row r="246">
      <c r="H246" s="23"/>
      <c r="I246" s="23"/>
      <c r="J246" s="23"/>
    </row>
    <row r="247">
      <c r="H247" s="23"/>
      <c r="I247" s="23"/>
      <c r="J247" s="23"/>
    </row>
    <row r="248">
      <c r="H248" s="23"/>
      <c r="I248" s="23"/>
      <c r="J248" s="23"/>
    </row>
    <row r="249">
      <c r="H249" s="23"/>
      <c r="I249" s="23"/>
      <c r="J249" s="23"/>
    </row>
    <row r="250">
      <c r="H250" s="23"/>
      <c r="I250" s="23"/>
      <c r="J250" s="23"/>
    </row>
    <row r="251">
      <c r="H251" s="23"/>
      <c r="I251" s="23"/>
      <c r="J251" s="23"/>
    </row>
    <row r="252">
      <c r="H252" s="23"/>
      <c r="I252" s="23"/>
      <c r="J252" s="23"/>
    </row>
    <row r="253">
      <c r="H253" s="23"/>
      <c r="I253" s="23"/>
      <c r="J253" s="23"/>
    </row>
    <row r="254">
      <c r="H254" s="23"/>
      <c r="I254" s="23"/>
      <c r="J254" s="23"/>
    </row>
    <row r="255">
      <c r="H255" s="23"/>
      <c r="I255" s="23"/>
      <c r="J255" s="23"/>
    </row>
    <row r="256">
      <c r="H256" s="23"/>
      <c r="I256" s="23"/>
      <c r="J256" s="23"/>
    </row>
    <row r="257">
      <c r="H257" s="23"/>
      <c r="I257" s="23"/>
      <c r="J257" s="23"/>
    </row>
    <row r="258">
      <c r="H258" s="23"/>
      <c r="I258" s="23"/>
      <c r="J258" s="23"/>
    </row>
    <row r="259">
      <c r="H259" s="23"/>
      <c r="I259" s="23"/>
      <c r="J259" s="23"/>
    </row>
    <row r="260">
      <c r="H260" s="23"/>
      <c r="I260" s="23"/>
      <c r="J260" s="23"/>
    </row>
    <row r="261">
      <c r="H261" s="23"/>
      <c r="I261" s="23"/>
      <c r="J261" s="23"/>
    </row>
    <row r="262">
      <c r="H262" s="23"/>
      <c r="I262" s="23"/>
      <c r="J262" s="23"/>
    </row>
    <row r="263">
      <c r="H263" s="23"/>
      <c r="I263" s="23"/>
      <c r="J263" s="23"/>
    </row>
    <row r="264">
      <c r="H264" s="23"/>
      <c r="I264" s="23"/>
      <c r="J264" s="23"/>
    </row>
    <row r="265">
      <c r="H265" s="23"/>
      <c r="I265" s="23"/>
      <c r="J265" s="23"/>
    </row>
    <row r="266">
      <c r="H266" s="23"/>
      <c r="I266" s="23"/>
      <c r="J266" s="23"/>
    </row>
    <row r="267">
      <c r="H267" s="23"/>
      <c r="I267" s="23"/>
      <c r="J267" s="23"/>
    </row>
    <row r="268">
      <c r="H268" s="23"/>
      <c r="I268" s="23"/>
      <c r="J268" s="23"/>
    </row>
    <row r="269">
      <c r="H269" s="23"/>
      <c r="I269" s="23"/>
      <c r="J269" s="23"/>
    </row>
    <row r="270">
      <c r="H270" s="23"/>
      <c r="I270" s="23"/>
      <c r="J270" s="23"/>
    </row>
    <row r="271">
      <c r="H271" s="23"/>
      <c r="I271" s="23"/>
      <c r="J271" s="23"/>
    </row>
    <row r="272">
      <c r="H272" s="23"/>
      <c r="I272" s="23"/>
      <c r="J272" s="23"/>
    </row>
    <row r="273">
      <c r="H273" s="23"/>
      <c r="I273" s="23"/>
      <c r="J273" s="23"/>
    </row>
    <row r="274">
      <c r="H274" s="23"/>
      <c r="I274" s="23"/>
      <c r="J274" s="23"/>
    </row>
    <row r="275">
      <c r="H275" s="23"/>
      <c r="I275" s="23"/>
      <c r="J275" s="23"/>
    </row>
    <row r="276">
      <c r="H276" s="23"/>
      <c r="I276" s="23"/>
      <c r="J276" s="23"/>
    </row>
    <row r="277">
      <c r="H277" s="23"/>
      <c r="I277" s="23"/>
      <c r="J277" s="23"/>
    </row>
    <row r="278">
      <c r="H278" s="23"/>
      <c r="I278" s="23"/>
      <c r="J278" s="23"/>
    </row>
    <row r="279">
      <c r="H279" s="23"/>
      <c r="I279" s="23"/>
      <c r="J279" s="23"/>
    </row>
    <row r="280">
      <c r="H280" s="23"/>
      <c r="I280" s="23"/>
      <c r="J280" s="23"/>
    </row>
    <row r="281">
      <c r="H281" s="23"/>
      <c r="I281" s="23"/>
      <c r="J281" s="23"/>
    </row>
    <row r="282">
      <c r="H282" s="23"/>
      <c r="I282" s="23"/>
      <c r="J282" s="23"/>
    </row>
    <row r="283">
      <c r="H283" s="23"/>
      <c r="I283" s="23"/>
      <c r="J283" s="23"/>
    </row>
    <row r="284">
      <c r="H284" s="23"/>
      <c r="I284" s="23"/>
      <c r="J284" s="23"/>
    </row>
    <row r="285">
      <c r="H285" s="23"/>
      <c r="I285" s="23"/>
      <c r="J285" s="23"/>
    </row>
    <row r="286">
      <c r="H286" s="23"/>
      <c r="I286" s="23"/>
      <c r="J286" s="23"/>
    </row>
    <row r="287">
      <c r="H287" s="23"/>
      <c r="I287" s="23"/>
      <c r="J287" s="23"/>
    </row>
    <row r="288">
      <c r="H288" s="23"/>
      <c r="I288" s="23"/>
      <c r="J288" s="23"/>
    </row>
    <row r="289">
      <c r="H289" s="23"/>
      <c r="I289" s="23"/>
      <c r="J289" s="23"/>
    </row>
    <row r="290">
      <c r="H290" s="23"/>
      <c r="I290" s="23"/>
      <c r="J290" s="23"/>
    </row>
    <row r="291">
      <c r="H291" s="23"/>
      <c r="I291" s="23"/>
      <c r="J291" s="23"/>
    </row>
    <row r="292">
      <c r="H292" s="23"/>
      <c r="I292" s="23"/>
      <c r="J292" s="23"/>
    </row>
    <row r="293">
      <c r="H293" s="23"/>
      <c r="I293" s="23"/>
      <c r="J293" s="23"/>
    </row>
    <row r="294">
      <c r="H294" s="23"/>
      <c r="I294" s="23"/>
      <c r="J294" s="23"/>
    </row>
    <row r="295">
      <c r="H295" s="23"/>
      <c r="I295" s="23"/>
      <c r="J295" s="23"/>
    </row>
    <row r="296">
      <c r="H296" s="23"/>
      <c r="I296" s="23"/>
      <c r="J296" s="23"/>
    </row>
    <row r="297">
      <c r="H297" s="23"/>
      <c r="I297" s="23"/>
      <c r="J297" s="23"/>
    </row>
    <row r="298">
      <c r="H298" s="23"/>
      <c r="I298" s="23"/>
      <c r="J298" s="23"/>
    </row>
    <row r="299">
      <c r="H299" s="23"/>
      <c r="I299" s="23"/>
      <c r="J299" s="23"/>
    </row>
    <row r="300">
      <c r="H300" s="23"/>
      <c r="I300" s="23"/>
      <c r="J300" s="23"/>
    </row>
    <row r="301">
      <c r="H301" s="23"/>
      <c r="I301" s="23"/>
      <c r="J301" s="23"/>
    </row>
    <row r="302">
      <c r="H302" s="23"/>
      <c r="I302" s="23"/>
      <c r="J302" s="23"/>
    </row>
    <row r="303">
      <c r="H303" s="23"/>
      <c r="I303" s="23"/>
      <c r="J303" s="23"/>
    </row>
    <row r="304">
      <c r="H304" s="23"/>
      <c r="I304" s="23"/>
      <c r="J304" s="23"/>
    </row>
    <row r="305">
      <c r="H305" s="23"/>
      <c r="I305" s="23"/>
      <c r="J305" s="23"/>
    </row>
    <row r="306">
      <c r="H306" s="23"/>
      <c r="I306" s="23"/>
      <c r="J306" s="23"/>
    </row>
    <row r="307">
      <c r="H307" s="23"/>
      <c r="I307" s="23"/>
      <c r="J307" s="23"/>
    </row>
    <row r="308">
      <c r="H308" s="23"/>
      <c r="I308" s="23"/>
      <c r="J308" s="23"/>
    </row>
    <row r="309">
      <c r="H309" s="23"/>
      <c r="I309" s="23"/>
      <c r="J309" s="23"/>
    </row>
    <row r="310">
      <c r="H310" s="23"/>
      <c r="I310" s="23"/>
      <c r="J310" s="23"/>
    </row>
    <row r="311">
      <c r="H311" s="23"/>
      <c r="I311" s="23"/>
      <c r="J311" s="23"/>
    </row>
    <row r="312">
      <c r="H312" s="23"/>
      <c r="I312" s="23"/>
      <c r="J312" s="23"/>
    </row>
    <row r="313">
      <c r="H313" s="23"/>
      <c r="I313" s="23"/>
      <c r="J313" s="23"/>
    </row>
    <row r="314">
      <c r="H314" s="23"/>
      <c r="I314" s="23"/>
      <c r="J314" s="23"/>
    </row>
    <row r="315">
      <c r="H315" s="23"/>
      <c r="I315" s="23"/>
      <c r="J315" s="23"/>
    </row>
    <row r="316">
      <c r="H316" s="23"/>
      <c r="I316" s="23"/>
      <c r="J316" s="23"/>
    </row>
    <row r="317">
      <c r="H317" s="23"/>
      <c r="I317" s="23"/>
      <c r="J317" s="23"/>
    </row>
    <row r="318">
      <c r="H318" s="23"/>
      <c r="I318" s="23"/>
      <c r="J318" s="23"/>
    </row>
    <row r="319">
      <c r="H319" s="23"/>
      <c r="I319" s="23"/>
      <c r="J319" s="23"/>
    </row>
    <row r="320">
      <c r="H320" s="23"/>
      <c r="I320" s="23"/>
      <c r="J320" s="23"/>
    </row>
    <row r="321">
      <c r="H321" s="23"/>
      <c r="I321" s="23"/>
      <c r="J321" s="23"/>
    </row>
    <row r="322">
      <c r="H322" s="23"/>
      <c r="I322" s="23"/>
      <c r="J322" s="23"/>
    </row>
    <row r="323">
      <c r="H323" s="23"/>
      <c r="I323" s="23"/>
      <c r="J323" s="23"/>
    </row>
    <row r="324">
      <c r="H324" s="23"/>
      <c r="I324" s="23"/>
      <c r="J324" s="23"/>
    </row>
    <row r="325">
      <c r="H325" s="23"/>
      <c r="I325" s="23"/>
      <c r="J325" s="23"/>
    </row>
    <row r="326">
      <c r="H326" s="23"/>
      <c r="I326" s="23"/>
      <c r="J326" s="23"/>
    </row>
    <row r="327">
      <c r="H327" s="23"/>
      <c r="I327" s="23"/>
      <c r="J327" s="23"/>
    </row>
    <row r="328">
      <c r="H328" s="23"/>
      <c r="I328" s="23"/>
      <c r="J328" s="23"/>
    </row>
    <row r="329">
      <c r="H329" s="23"/>
      <c r="I329" s="23"/>
      <c r="J329" s="23"/>
    </row>
    <row r="330">
      <c r="H330" s="23"/>
      <c r="I330" s="23"/>
      <c r="J330" s="23"/>
    </row>
    <row r="331">
      <c r="H331" s="23"/>
      <c r="I331" s="23"/>
      <c r="J331" s="23"/>
    </row>
    <row r="332">
      <c r="H332" s="23"/>
      <c r="I332" s="23"/>
      <c r="J332" s="23"/>
    </row>
    <row r="333">
      <c r="H333" s="23"/>
      <c r="I333" s="23"/>
      <c r="J333" s="23"/>
    </row>
    <row r="334">
      <c r="H334" s="23"/>
      <c r="I334" s="23"/>
      <c r="J334" s="23"/>
    </row>
    <row r="335">
      <c r="H335" s="23"/>
      <c r="I335" s="23"/>
      <c r="J335" s="23"/>
    </row>
    <row r="336">
      <c r="H336" s="23"/>
      <c r="I336" s="23"/>
      <c r="J336" s="23"/>
    </row>
    <row r="337">
      <c r="H337" s="23"/>
      <c r="I337" s="23"/>
      <c r="J337" s="23"/>
    </row>
    <row r="338">
      <c r="H338" s="23"/>
      <c r="I338" s="23"/>
      <c r="J338" s="23"/>
    </row>
    <row r="339">
      <c r="H339" s="23"/>
      <c r="I339" s="23"/>
      <c r="J339" s="23"/>
    </row>
    <row r="340">
      <c r="H340" s="23"/>
      <c r="I340" s="23"/>
      <c r="J340" s="23"/>
    </row>
    <row r="341">
      <c r="H341" s="23"/>
      <c r="I341" s="23"/>
      <c r="J341" s="23"/>
    </row>
    <row r="342">
      <c r="H342" s="23"/>
      <c r="I342" s="23"/>
      <c r="J342" s="23"/>
    </row>
    <row r="343">
      <c r="H343" s="23"/>
      <c r="I343" s="23"/>
      <c r="J343" s="23"/>
    </row>
    <row r="344">
      <c r="H344" s="23"/>
      <c r="I344" s="23"/>
      <c r="J344" s="23"/>
    </row>
    <row r="345">
      <c r="H345" s="23"/>
      <c r="I345" s="23"/>
      <c r="J345" s="23"/>
    </row>
    <row r="346">
      <c r="H346" s="23"/>
      <c r="I346" s="23"/>
      <c r="J346" s="23"/>
    </row>
    <row r="347">
      <c r="H347" s="23"/>
      <c r="I347" s="23"/>
      <c r="J347" s="23"/>
    </row>
    <row r="348">
      <c r="H348" s="23"/>
      <c r="I348" s="23"/>
      <c r="J348" s="23"/>
    </row>
    <row r="349">
      <c r="H349" s="23"/>
      <c r="I349" s="23"/>
      <c r="J349" s="23"/>
    </row>
    <row r="350">
      <c r="H350" s="23"/>
      <c r="I350" s="23"/>
      <c r="J350" s="23"/>
    </row>
    <row r="351">
      <c r="H351" s="23"/>
      <c r="I351" s="23"/>
      <c r="J351" s="23"/>
    </row>
    <row r="352">
      <c r="H352" s="23"/>
      <c r="I352" s="23"/>
      <c r="J352" s="23"/>
    </row>
    <row r="353">
      <c r="H353" s="23"/>
      <c r="I353" s="23"/>
      <c r="J353" s="23"/>
    </row>
    <row r="354">
      <c r="H354" s="23"/>
      <c r="I354" s="23"/>
      <c r="J354" s="23"/>
    </row>
    <row r="355">
      <c r="H355" s="23"/>
      <c r="I355" s="23"/>
      <c r="J355" s="23"/>
    </row>
    <row r="356">
      <c r="H356" s="23"/>
      <c r="I356" s="23"/>
      <c r="J356" s="23"/>
    </row>
    <row r="357">
      <c r="H357" s="23"/>
      <c r="I357" s="23"/>
      <c r="J357" s="23"/>
    </row>
    <row r="358">
      <c r="H358" s="23"/>
      <c r="I358" s="23"/>
      <c r="J358" s="23"/>
    </row>
    <row r="359">
      <c r="H359" s="23"/>
      <c r="I359" s="23"/>
      <c r="J359" s="23"/>
    </row>
    <row r="360">
      <c r="H360" s="23"/>
      <c r="I360" s="23"/>
      <c r="J360" s="23"/>
    </row>
    <row r="361">
      <c r="H361" s="23"/>
      <c r="I361" s="23"/>
      <c r="J361" s="23"/>
    </row>
    <row r="362">
      <c r="H362" s="23"/>
      <c r="I362" s="23"/>
      <c r="J362" s="23"/>
    </row>
    <row r="363">
      <c r="H363" s="23"/>
      <c r="I363" s="23"/>
      <c r="J363" s="23"/>
    </row>
    <row r="364">
      <c r="H364" s="23"/>
      <c r="I364" s="23"/>
      <c r="J364" s="23"/>
    </row>
    <row r="365">
      <c r="H365" s="23"/>
      <c r="I365" s="23"/>
      <c r="J365" s="23"/>
    </row>
    <row r="366">
      <c r="H366" s="23"/>
      <c r="I366" s="23"/>
      <c r="J366" s="23"/>
    </row>
    <row r="367">
      <c r="H367" s="23"/>
      <c r="I367" s="23"/>
      <c r="J367" s="23"/>
    </row>
    <row r="368">
      <c r="H368" s="23"/>
      <c r="I368" s="23"/>
      <c r="J368" s="23"/>
    </row>
    <row r="369">
      <c r="H369" s="23"/>
      <c r="I369" s="23"/>
      <c r="J369" s="23"/>
    </row>
    <row r="370">
      <c r="H370" s="23"/>
      <c r="I370" s="23"/>
      <c r="J370" s="23"/>
    </row>
    <row r="371">
      <c r="H371" s="23"/>
      <c r="I371" s="23"/>
      <c r="J371" s="23"/>
    </row>
    <row r="372">
      <c r="H372" s="23"/>
      <c r="I372" s="23"/>
      <c r="J372" s="23"/>
    </row>
    <row r="373">
      <c r="H373" s="23"/>
      <c r="I373" s="23"/>
      <c r="J373" s="23"/>
    </row>
    <row r="374">
      <c r="H374" s="23"/>
      <c r="I374" s="23"/>
      <c r="J374" s="23"/>
    </row>
    <row r="375">
      <c r="H375" s="23"/>
      <c r="I375" s="23"/>
      <c r="J375" s="23"/>
    </row>
    <row r="376">
      <c r="H376" s="23"/>
      <c r="I376" s="23"/>
      <c r="J376" s="23"/>
    </row>
    <row r="377">
      <c r="H377" s="23"/>
      <c r="I377" s="23"/>
      <c r="J377" s="23"/>
    </row>
    <row r="378">
      <c r="H378" s="23"/>
      <c r="I378" s="23"/>
      <c r="J378" s="23"/>
    </row>
    <row r="379">
      <c r="H379" s="23"/>
      <c r="I379" s="23"/>
      <c r="J379" s="23"/>
    </row>
    <row r="380">
      <c r="H380" s="23"/>
      <c r="I380" s="23"/>
      <c r="J380" s="23"/>
    </row>
    <row r="381">
      <c r="H381" s="23"/>
      <c r="I381" s="23"/>
      <c r="J381" s="23"/>
    </row>
    <row r="382">
      <c r="H382" s="23"/>
      <c r="I382" s="23"/>
      <c r="J382" s="23"/>
    </row>
    <row r="383">
      <c r="H383" s="23"/>
      <c r="I383" s="23"/>
      <c r="J383" s="23"/>
    </row>
    <row r="384">
      <c r="H384" s="23"/>
      <c r="I384" s="23"/>
      <c r="J384" s="23"/>
    </row>
    <row r="385">
      <c r="H385" s="23"/>
      <c r="I385" s="23"/>
      <c r="J385" s="23"/>
    </row>
    <row r="386">
      <c r="H386" s="23"/>
      <c r="I386" s="23"/>
      <c r="J386" s="23"/>
    </row>
    <row r="387">
      <c r="H387" s="23"/>
      <c r="I387" s="23"/>
      <c r="J387" s="23"/>
    </row>
    <row r="388">
      <c r="H388" s="23"/>
      <c r="I388" s="23"/>
      <c r="J388" s="23"/>
    </row>
    <row r="389">
      <c r="H389" s="23"/>
      <c r="I389" s="23"/>
      <c r="J389" s="23"/>
    </row>
    <row r="390">
      <c r="H390" s="23"/>
      <c r="I390" s="23"/>
      <c r="J390" s="23"/>
    </row>
    <row r="391">
      <c r="H391" s="23"/>
      <c r="I391" s="23"/>
      <c r="J391" s="23"/>
    </row>
    <row r="392">
      <c r="H392" s="23"/>
      <c r="I392" s="23"/>
      <c r="J392" s="23"/>
    </row>
    <row r="393">
      <c r="H393" s="23"/>
      <c r="I393" s="23"/>
      <c r="J393" s="23"/>
    </row>
    <row r="394">
      <c r="H394" s="23"/>
      <c r="I394" s="23"/>
      <c r="J394" s="23"/>
    </row>
    <row r="395">
      <c r="H395" s="23"/>
      <c r="I395" s="23"/>
      <c r="J395" s="23"/>
    </row>
    <row r="396">
      <c r="H396" s="23"/>
      <c r="I396" s="23"/>
      <c r="J396" s="23"/>
    </row>
    <row r="397">
      <c r="H397" s="23"/>
      <c r="I397" s="23"/>
      <c r="J397" s="23"/>
    </row>
    <row r="398">
      <c r="H398" s="23"/>
      <c r="I398" s="23"/>
      <c r="J398" s="23"/>
    </row>
    <row r="399">
      <c r="H399" s="23"/>
      <c r="I399" s="23"/>
      <c r="J399" s="23"/>
    </row>
    <row r="400">
      <c r="H400" s="23"/>
      <c r="I400" s="23"/>
      <c r="J400" s="23"/>
    </row>
    <row r="401">
      <c r="H401" s="23"/>
      <c r="I401" s="23"/>
      <c r="J401" s="23"/>
    </row>
    <row r="402">
      <c r="H402" s="23"/>
      <c r="I402" s="23"/>
      <c r="J402" s="23"/>
    </row>
    <row r="403">
      <c r="H403" s="23"/>
      <c r="I403" s="23"/>
      <c r="J403" s="23"/>
    </row>
    <row r="404">
      <c r="H404" s="23"/>
      <c r="I404" s="23"/>
      <c r="J404" s="23"/>
    </row>
    <row r="405">
      <c r="H405" s="23"/>
      <c r="I405" s="23"/>
      <c r="J405" s="23"/>
    </row>
    <row r="406">
      <c r="H406" s="23"/>
      <c r="I406" s="23"/>
      <c r="J406" s="23"/>
    </row>
    <row r="407">
      <c r="H407" s="23"/>
      <c r="I407" s="23"/>
      <c r="J407" s="23"/>
    </row>
    <row r="408">
      <c r="H408" s="23"/>
      <c r="I408" s="23"/>
      <c r="J408" s="23"/>
    </row>
    <row r="409">
      <c r="H409" s="23"/>
      <c r="I409" s="23"/>
      <c r="J409" s="23"/>
    </row>
    <row r="410">
      <c r="H410" s="23"/>
      <c r="I410" s="23"/>
      <c r="J410" s="23"/>
    </row>
    <row r="411">
      <c r="H411" s="23"/>
      <c r="I411" s="23"/>
      <c r="J411" s="23"/>
    </row>
    <row r="412">
      <c r="H412" s="23"/>
      <c r="I412" s="23"/>
      <c r="J412" s="23"/>
    </row>
    <row r="413">
      <c r="H413" s="23"/>
      <c r="I413" s="23"/>
      <c r="J413" s="23"/>
    </row>
    <row r="414">
      <c r="H414" s="23"/>
      <c r="I414" s="23"/>
      <c r="J414" s="23"/>
    </row>
    <row r="415">
      <c r="H415" s="23"/>
      <c r="I415" s="23"/>
      <c r="J415" s="23"/>
    </row>
    <row r="416">
      <c r="H416" s="23"/>
      <c r="I416" s="23"/>
      <c r="J416" s="23"/>
    </row>
    <row r="417">
      <c r="H417" s="23"/>
      <c r="I417" s="23"/>
      <c r="J417" s="23"/>
    </row>
    <row r="418">
      <c r="H418" s="23"/>
      <c r="I418" s="23"/>
      <c r="J418" s="23"/>
    </row>
    <row r="419">
      <c r="H419" s="23"/>
      <c r="I419" s="23"/>
      <c r="J419" s="23"/>
    </row>
    <row r="420">
      <c r="H420" s="23"/>
      <c r="I420" s="23"/>
      <c r="J420" s="23"/>
    </row>
    <row r="421">
      <c r="H421" s="23"/>
      <c r="I421" s="23"/>
      <c r="J421" s="23"/>
    </row>
    <row r="422">
      <c r="H422" s="23"/>
      <c r="I422" s="23"/>
      <c r="J422" s="23"/>
    </row>
    <row r="423">
      <c r="H423" s="23"/>
      <c r="I423" s="23"/>
      <c r="J423" s="23"/>
    </row>
    <row r="424">
      <c r="H424" s="23"/>
      <c r="I424" s="23"/>
      <c r="J424" s="23"/>
    </row>
    <row r="425">
      <c r="H425" s="23"/>
      <c r="I425" s="23"/>
      <c r="J425" s="23"/>
    </row>
    <row r="426">
      <c r="H426" s="23"/>
      <c r="I426" s="23"/>
      <c r="J426" s="23"/>
    </row>
    <row r="427">
      <c r="H427" s="23"/>
      <c r="I427" s="23"/>
      <c r="J427" s="23"/>
    </row>
    <row r="428">
      <c r="H428" s="23"/>
      <c r="I428" s="23"/>
      <c r="J428" s="23"/>
    </row>
    <row r="429">
      <c r="H429" s="23"/>
      <c r="I429" s="23"/>
      <c r="J429" s="23"/>
    </row>
    <row r="430">
      <c r="H430" s="23"/>
      <c r="I430" s="23"/>
      <c r="J430" s="23"/>
    </row>
    <row r="431">
      <c r="H431" s="23"/>
      <c r="I431" s="23"/>
      <c r="J431" s="23"/>
    </row>
    <row r="432">
      <c r="H432" s="23"/>
      <c r="I432" s="23"/>
      <c r="J432" s="23"/>
    </row>
    <row r="433">
      <c r="H433" s="23"/>
      <c r="I433" s="23"/>
      <c r="J433" s="23"/>
    </row>
    <row r="434">
      <c r="H434" s="23"/>
      <c r="I434" s="23"/>
      <c r="J434" s="23"/>
    </row>
    <row r="435">
      <c r="H435" s="23"/>
      <c r="I435" s="23"/>
      <c r="J435" s="23"/>
    </row>
    <row r="436">
      <c r="H436" s="23"/>
      <c r="I436" s="23"/>
      <c r="J436" s="23"/>
    </row>
    <row r="437">
      <c r="H437" s="23"/>
      <c r="I437" s="23"/>
      <c r="J437" s="23"/>
    </row>
    <row r="438">
      <c r="H438" s="23"/>
      <c r="I438" s="23"/>
      <c r="J438" s="23"/>
    </row>
    <row r="439">
      <c r="H439" s="23"/>
      <c r="I439" s="23"/>
      <c r="J439" s="23"/>
    </row>
    <row r="440">
      <c r="H440" s="23"/>
      <c r="I440" s="23"/>
      <c r="J440" s="23"/>
    </row>
    <row r="441">
      <c r="H441" s="23"/>
      <c r="I441" s="23"/>
      <c r="J441" s="23"/>
    </row>
    <row r="442">
      <c r="H442" s="23"/>
      <c r="I442" s="23"/>
      <c r="J442" s="23"/>
    </row>
    <row r="443">
      <c r="H443" s="23"/>
      <c r="I443" s="23"/>
      <c r="J443" s="23"/>
    </row>
    <row r="444">
      <c r="H444" s="23"/>
      <c r="I444" s="23"/>
      <c r="J444" s="23"/>
    </row>
    <row r="445">
      <c r="H445" s="23"/>
      <c r="I445" s="23"/>
      <c r="J445" s="23"/>
    </row>
    <row r="446">
      <c r="H446" s="23"/>
      <c r="I446" s="23"/>
      <c r="J446" s="23"/>
    </row>
    <row r="447">
      <c r="H447" s="23"/>
      <c r="I447" s="23"/>
      <c r="J447" s="23"/>
    </row>
    <row r="448">
      <c r="H448" s="23"/>
      <c r="I448" s="23"/>
      <c r="J448" s="23"/>
    </row>
    <row r="449">
      <c r="H449" s="23"/>
      <c r="I449" s="23"/>
      <c r="J449" s="23"/>
    </row>
    <row r="450">
      <c r="H450" s="23"/>
      <c r="I450" s="23"/>
      <c r="J450" s="23"/>
    </row>
    <row r="451">
      <c r="H451" s="23"/>
      <c r="I451" s="23"/>
      <c r="J451" s="23"/>
    </row>
    <row r="452">
      <c r="H452" s="23"/>
      <c r="I452" s="23"/>
      <c r="J452" s="23"/>
    </row>
    <row r="453">
      <c r="H453" s="23"/>
      <c r="I453" s="23"/>
      <c r="J453" s="23"/>
    </row>
    <row r="454">
      <c r="H454" s="23"/>
      <c r="I454" s="23"/>
      <c r="J454" s="23"/>
    </row>
    <row r="455">
      <c r="H455" s="23"/>
      <c r="I455" s="23"/>
      <c r="J455" s="23"/>
    </row>
    <row r="456">
      <c r="H456" s="23"/>
      <c r="I456" s="23"/>
      <c r="J456" s="23"/>
    </row>
    <row r="457">
      <c r="H457" s="23"/>
      <c r="I457" s="23"/>
      <c r="J457" s="23"/>
    </row>
    <row r="458">
      <c r="H458" s="23"/>
      <c r="I458" s="23"/>
      <c r="J458" s="23"/>
    </row>
    <row r="459">
      <c r="H459" s="23"/>
      <c r="I459" s="23"/>
      <c r="J459" s="23"/>
    </row>
    <row r="460">
      <c r="H460" s="23"/>
      <c r="I460" s="23"/>
      <c r="J460" s="23"/>
    </row>
    <row r="461">
      <c r="H461" s="23"/>
      <c r="I461" s="23"/>
      <c r="J461" s="23"/>
    </row>
    <row r="462">
      <c r="H462" s="23"/>
      <c r="I462" s="23"/>
      <c r="J462" s="23"/>
    </row>
    <row r="463">
      <c r="H463" s="23"/>
      <c r="I463" s="23"/>
      <c r="J463" s="23"/>
    </row>
    <row r="464">
      <c r="H464" s="23"/>
      <c r="I464" s="23"/>
      <c r="J464" s="23"/>
    </row>
    <row r="465">
      <c r="H465" s="23"/>
      <c r="I465" s="23"/>
      <c r="J465" s="23"/>
    </row>
    <row r="466">
      <c r="H466" s="23"/>
      <c r="I466" s="23"/>
      <c r="J466" s="23"/>
    </row>
    <row r="467">
      <c r="H467" s="23"/>
      <c r="I467" s="23"/>
      <c r="J467" s="23"/>
    </row>
    <row r="468">
      <c r="H468" s="23"/>
      <c r="I468" s="23"/>
      <c r="J468" s="23"/>
    </row>
    <row r="469">
      <c r="H469" s="23"/>
      <c r="I469" s="23"/>
      <c r="J469" s="23"/>
    </row>
    <row r="470">
      <c r="H470" s="23"/>
      <c r="I470" s="23"/>
      <c r="J470" s="23"/>
    </row>
    <row r="471">
      <c r="H471" s="23"/>
      <c r="I471" s="23"/>
      <c r="J471" s="23"/>
    </row>
    <row r="472">
      <c r="H472" s="23"/>
      <c r="I472" s="23"/>
      <c r="J472" s="23"/>
    </row>
    <row r="473">
      <c r="H473" s="23"/>
      <c r="I473" s="23"/>
      <c r="J473" s="23"/>
    </row>
    <row r="474">
      <c r="H474" s="23"/>
      <c r="I474" s="23"/>
      <c r="J474" s="23"/>
    </row>
    <row r="475">
      <c r="H475" s="23"/>
      <c r="I475" s="23"/>
      <c r="J475" s="23"/>
    </row>
    <row r="476">
      <c r="H476" s="23"/>
      <c r="I476" s="23"/>
      <c r="J476" s="23"/>
    </row>
    <row r="477">
      <c r="H477" s="23"/>
      <c r="I477" s="23"/>
      <c r="J477" s="23"/>
    </row>
    <row r="478">
      <c r="H478" s="23"/>
      <c r="I478" s="23"/>
      <c r="J478" s="23"/>
    </row>
    <row r="479">
      <c r="H479" s="23"/>
      <c r="I479" s="23"/>
      <c r="J479" s="23"/>
    </row>
    <row r="480">
      <c r="H480" s="23"/>
      <c r="I480" s="23"/>
      <c r="J480" s="23"/>
    </row>
    <row r="481">
      <c r="H481" s="23"/>
      <c r="I481" s="23"/>
      <c r="J481" s="23"/>
    </row>
    <row r="482">
      <c r="H482" s="23"/>
      <c r="I482" s="23"/>
      <c r="J482" s="23"/>
    </row>
    <row r="483">
      <c r="H483" s="23"/>
      <c r="I483" s="23"/>
      <c r="J483" s="23"/>
    </row>
    <row r="484">
      <c r="H484" s="23"/>
      <c r="I484" s="23"/>
      <c r="J484" s="23"/>
    </row>
    <row r="485">
      <c r="H485" s="23"/>
      <c r="I485" s="23"/>
      <c r="J485" s="23"/>
    </row>
    <row r="486">
      <c r="H486" s="23"/>
      <c r="I486" s="23"/>
      <c r="J486" s="23"/>
    </row>
    <row r="487">
      <c r="H487" s="23"/>
      <c r="I487" s="23"/>
      <c r="J487" s="23"/>
    </row>
    <row r="488">
      <c r="H488" s="23"/>
      <c r="I488" s="23"/>
      <c r="J488" s="23"/>
    </row>
    <row r="489">
      <c r="H489" s="23"/>
      <c r="I489" s="23"/>
      <c r="J489" s="23"/>
    </row>
    <row r="490">
      <c r="H490" s="23"/>
      <c r="I490" s="23"/>
      <c r="J490" s="23"/>
    </row>
    <row r="491">
      <c r="H491" s="23"/>
      <c r="I491" s="23"/>
      <c r="J491" s="23"/>
    </row>
    <row r="492">
      <c r="H492" s="23"/>
      <c r="I492" s="23"/>
      <c r="J492" s="23"/>
    </row>
    <row r="493">
      <c r="H493" s="23"/>
      <c r="I493" s="23"/>
      <c r="J493" s="23"/>
    </row>
    <row r="494">
      <c r="H494" s="23"/>
      <c r="I494" s="23"/>
      <c r="J494" s="23"/>
    </row>
    <row r="495">
      <c r="H495" s="23"/>
      <c r="I495" s="23"/>
      <c r="J495" s="23"/>
    </row>
    <row r="496">
      <c r="H496" s="23"/>
      <c r="I496" s="23"/>
      <c r="J496" s="23"/>
    </row>
    <row r="497">
      <c r="H497" s="23"/>
      <c r="I497" s="23"/>
      <c r="J497" s="23"/>
    </row>
    <row r="498">
      <c r="H498" s="23"/>
      <c r="I498" s="23"/>
      <c r="J498" s="23"/>
    </row>
    <row r="499">
      <c r="H499" s="23"/>
      <c r="I499" s="23"/>
      <c r="J499" s="23"/>
    </row>
    <row r="500">
      <c r="H500" s="23"/>
      <c r="I500" s="23"/>
      <c r="J500" s="23"/>
    </row>
    <row r="501">
      <c r="H501" s="23"/>
      <c r="I501" s="23"/>
      <c r="J501" s="23"/>
    </row>
    <row r="502">
      <c r="H502" s="23"/>
      <c r="I502" s="23"/>
      <c r="J502" s="23"/>
    </row>
    <row r="503">
      <c r="H503" s="23"/>
      <c r="I503" s="23"/>
      <c r="J503" s="23"/>
    </row>
    <row r="504">
      <c r="H504" s="23"/>
      <c r="I504" s="23"/>
      <c r="J504" s="23"/>
    </row>
    <row r="505">
      <c r="H505" s="23"/>
      <c r="I505" s="23"/>
      <c r="J505" s="23"/>
    </row>
    <row r="506">
      <c r="H506" s="23"/>
      <c r="I506" s="23"/>
      <c r="J506" s="23"/>
    </row>
    <row r="507">
      <c r="H507" s="23"/>
      <c r="I507" s="23"/>
      <c r="J507" s="23"/>
    </row>
    <row r="508">
      <c r="H508" s="23"/>
      <c r="I508" s="23"/>
      <c r="J508" s="23"/>
    </row>
    <row r="509">
      <c r="H509" s="23"/>
      <c r="I509" s="23"/>
      <c r="J509" s="23"/>
    </row>
    <row r="510">
      <c r="H510" s="23"/>
      <c r="I510" s="23"/>
      <c r="J510" s="23"/>
    </row>
    <row r="511">
      <c r="H511" s="23"/>
      <c r="I511" s="23"/>
      <c r="J511" s="23"/>
    </row>
    <row r="512">
      <c r="H512" s="23"/>
      <c r="I512" s="23"/>
      <c r="J512" s="23"/>
    </row>
    <row r="513">
      <c r="H513" s="23"/>
      <c r="I513" s="23"/>
      <c r="J513" s="23"/>
    </row>
    <row r="514">
      <c r="H514" s="23"/>
      <c r="I514" s="23"/>
      <c r="J514" s="23"/>
    </row>
    <row r="515">
      <c r="H515" s="23"/>
      <c r="I515" s="23"/>
      <c r="J515" s="23"/>
    </row>
    <row r="516">
      <c r="H516" s="23"/>
      <c r="I516" s="23"/>
      <c r="J516" s="23"/>
    </row>
    <row r="517">
      <c r="H517" s="23"/>
      <c r="I517" s="23"/>
      <c r="J517" s="23"/>
    </row>
    <row r="518">
      <c r="H518" s="23"/>
      <c r="I518" s="23"/>
      <c r="J518" s="23"/>
    </row>
    <row r="519">
      <c r="H519" s="23"/>
      <c r="I519" s="23"/>
      <c r="J519" s="23"/>
    </row>
    <row r="520">
      <c r="H520" s="23"/>
      <c r="I520" s="23"/>
      <c r="J520" s="23"/>
    </row>
    <row r="521">
      <c r="H521" s="23"/>
      <c r="I521" s="23"/>
      <c r="J521" s="23"/>
    </row>
    <row r="522">
      <c r="H522" s="23"/>
      <c r="I522" s="23"/>
      <c r="J522" s="23"/>
    </row>
    <row r="523">
      <c r="H523" s="23"/>
      <c r="I523" s="23"/>
      <c r="J523" s="23"/>
    </row>
    <row r="524">
      <c r="H524" s="23"/>
      <c r="I524" s="23"/>
      <c r="J524" s="23"/>
    </row>
    <row r="525">
      <c r="H525" s="23"/>
      <c r="I525" s="23"/>
      <c r="J525" s="23"/>
    </row>
    <row r="526">
      <c r="H526" s="23"/>
      <c r="I526" s="23"/>
      <c r="J526" s="23"/>
    </row>
    <row r="527">
      <c r="H527" s="23"/>
      <c r="I527" s="23"/>
      <c r="J527" s="23"/>
    </row>
    <row r="528">
      <c r="H528" s="23"/>
      <c r="I528" s="23"/>
      <c r="J528" s="23"/>
    </row>
    <row r="529">
      <c r="H529" s="23"/>
      <c r="I529" s="23"/>
      <c r="J529" s="23"/>
    </row>
    <row r="530">
      <c r="H530" s="23"/>
      <c r="I530" s="23"/>
      <c r="J530" s="23"/>
    </row>
    <row r="531">
      <c r="H531" s="23"/>
      <c r="I531" s="23"/>
      <c r="J531" s="23"/>
    </row>
    <row r="532">
      <c r="H532" s="23"/>
      <c r="I532" s="23"/>
      <c r="J532" s="23"/>
    </row>
    <row r="533">
      <c r="H533" s="23"/>
      <c r="I533" s="23"/>
      <c r="J533" s="23"/>
    </row>
    <row r="534">
      <c r="H534" s="23"/>
      <c r="I534" s="23"/>
      <c r="J534" s="23"/>
    </row>
    <row r="535">
      <c r="H535" s="23"/>
      <c r="I535" s="23"/>
      <c r="J535" s="23"/>
    </row>
    <row r="536">
      <c r="H536" s="23"/>
      <c r="I536" s="23"/>
      <c r="J536" s="23"/>
    </row>
    <row r="537">
      <c r="H537" s="23"/>
      <c r="I537" s="23"/>
      <c r="J537" s="23"/>
    </row>
    <row r="538">
      <c r="H538" s="23"/>
      <c r="I538" s="23"/>
      <c r="J538" s="23"/>
    </row>
    <row r="539">
      <c r="H539" s="23"/>
      <c r="I539" s="23"/>
      <c r="J539" s="23"/>
    </row>
    <row r="540">
      <c r="H540" s="23"/>
      <c r="I540" s="23"/>
      <c r="J540" s="23"/>
    </row>
    <row r="541">
      <c r="H541" s="23"/>
      <c r="I541" s="23"/>
      <c r="J541" s="23"/>
    </row>
    <row r="542">
      <c r="H542" s="23"/>
      <c r="I542" s="23"/>
      <c r="J542" s="23"/>
    </row>
    <row r="543">
      <c r="H543" s="23"/>
      <c r="I543" s="23"/>
      <c r="J543" s="23"/>
    </row>
    <row r="544">
      <c r="H544" s="23"/>
      <c r="I544" s="23"/>
      <c r="J544" s="23"/>
    </row>
    <row r="545">
      <c r="H545" s="23"/>
      <c r="I545" s="23"/>
      <c r="J545" s="23"/>
    </row>
    <row r="546">
      <c r="H546" s="23"/>
      <c r="I546" s="23"/>
      <c r="J546" s="23"/>
    </row>
    <row r="547">
      <c r="H547" s="23"/>
      <c r="I547" s="23"/>
      <c r="J547" s="23"/>
    </row>
    <row r="548">
      <c r="H548" s="23"/>
      <c r="I548" s="23"/>
      <c r="J548" s="23"/>
    </row>
    <row r="549">
      <c r="H549" s="23"/>
      <c r="I549" s="23"/>
      <c r="J549" s="23"/>
    </row>
    <row r="550">
      <c r="H550" s="23"/>
      <c r="I550" s="23"/>
      <c r="J550" s="23"/>
    </row>
    <row r="551">
      <c r="H551" s="23"/>
      <c r="I551" s="23"/>
      <c r="J551" s="23"/>
    </row>
    <row r="552">
      <c r="H552" s="23"/>
      <c r="I552" s="23"/>
      <c r="J552" s="23"/>
    </row>
    <row r="553">
      <c r="H553" s="23"/>
      <c r="I553" s="23"/>
      <c r="J553" s="23"/>
    </row>
    <row r="554">
      <c r="H554" s="23"/>
      <c r="I554" s="23"/>
      <c r="J554" s="23"/>
    </row>
    <row r="555">
      <c r="H555" s="23"/>
      <c r="I555" s="23"/>
      <c r="J555" s="23"/>
    </row>
    <row r="556">
      <c r="H556" s="23"/>
      <c r="I556" s="23"/>
      <c r="J556" s="23"/>
    </row>
    <row r="557">
      <c r="H557" s="23"/>
      <c r="I557" s="23"/>
      <c r="J557" s="23"/>
    </row>
    <row r="558">
      <c r="H558" s="23"/>
      <c r="I558" s="23"/>
      <c r="J558" s="23"/>
    </row>
    <row r="559">
      <c r="H559" s="23"/>
      <c r="I559" s="23"/>
      <c r="J559" s="23"/>
    </row>
    <row r="560">
      <c r="H560" s="23"/>
      <c r="I560" s="23"/>
      <c r="J560" s="23"/>
    </row>
    <row r="561">
      <c r="H561" s="23"/>
      <c r="I561" s="23"/>
      <c r="J561" s="23"/>
    </row>
    <row r="562">
      <c r="H562" s="23"/>
      <c r="I562" s="23"/>
      <c r="J562" s="23"/>
    </row>
    <row r="563">
      <c r="H563" s="23"/>
      <c r="I563" s="23"/>
      <c r="J563" s="23"/>
    </row>
    <row r="564">
      <c r="H564" s="23"/>
      <c r="I564" s="23"/>
      <c r="J564" s="23"/>
    </row>
    <row r="565">
      <c r="H565" s="23"/>
      <c r="I565" s="23"/>
      <c r="J565" s="23"/>
    </row>
    <row r="566">
      <c r="H566" s="23"/>
      <c r="I566" s="23"/>
      <c r="J566" s="23"/>
    </row>
    <row r="567">
      <c r="H567" s="23"/>
      <c r="I567" s="23"/>
      <c r="J567" s="23"/>
    </row>
    <row r="568">
      <c r="H568" s="23"/>
      <c r="I568" s="23"/>
      <c r="J568" s="23"/>
    </row>
    <row r="569">
      <c r="H569" s="23"/>
      <c r="I569" s="23"/>
      <c r="J569" s="23"/>
    </row>
    <row r="570">
      <c r="H570" s="23"/>
      <c r="I570" s="23"/>
      <c r="J570" s="23"/>
    </row>
    <row r="571">
      <c r="H571" s="23"/>
      <c r="I571" s="23"/>
      <c r="J571" s="23"/>
    </row>
    <row r="572">
      <c r="H572" s="23"/>
      <c r="I572" s="23"/>
      <c r="J572" s="23"/>
    </row>
    <row r="573">
      <c r="H573" s="23"/>
      <c r="I573" s="23"/>
      <c r="J573" s="23"/>
    </row>
    <row r="574">
      <c r="H574" s="23"/>
      <c r="I574" s="23"/>
      <c r="J574" s="23"/>
    </row>
    <row r="575">
      <c r="H575" s="23"/>
      <c r="I575" s="23"/>
      <c r="J575" s="23"/>
    </row>
    <row r="576">
      <c r="H576" s="23"/>
      <c r="I576" s="23"/>
      <c r="J576" s="23"/>
    </row>
    <row r="577">
      <c r="H577" s="23"/>
      <c r="I577" s="23"/>
      <c r="J577" s="23"/>
    </row>
    <row r="578">
      <c r="H578" s="23"/>
      <c r="I578" s="23"/>
      <c r="J578" s="23"/>
    </row>
    <row r="579">
      <c r="H579" s="23"/>
      <c r="I579" s="23"/>
      <c r="J579" s="23"/>
    </row>
    <row r="580">
      <c r="H580" s="23"/>
      <c r="I580" s="23"/>
      <c r="J580" s="23"/>
    </row>
    <row r="581">
      <c r="H581" s="23"/>
      <c r="I581" s="23"/>
      <c r="J581" s="23"/>
    </row>
    <row r="582">
      <c r="H582" s="23"/>
      <c r="I582" s="23"/>
      <c r="J582" s="23"/>
    </row>
    <row r="583">
      <c r="H583" s="23"/>
      <c r="I583" s="23"/>
      <c r="J583" s="23"/>
    </row>
    <row r="584">
      <c r="H584" s="23"/>
      <c r="I584" s="23"/>
      <c r="J584" s="23"/>
    </row>
    <row r="585">
      <c r="H585" s="23"/>
      <c r="I585" s="23"/>
      <c r="J585" s="23"/>
    </row>
    <row r="586">
      <c r="H586" s="23"/>
      <c r="I586" s="23"/>
      <c r="J586" s="23"/>
    </row>
    <row r="587">
      <c r="H587" s="23"/>
      <c r="I587" s="23"/>
      <c r="J587" s="23"/>
    </row>
    <row r="588">
      <c r="H588" s="23"/>
      <c r="I588" s="23"/>
      <c r="J588" s="23"/>
    </row>
    <row r="589">
      <c r="H589" s="23"/>
      <c r="I589" s="23"/>
      <c r="J589" s="23"/>
    </row>
    <row r="590">
      <c r="H590" s="23"/>
      <c r="I590" s="23"/>
      <c r="J590" s="23"/>
    </row>
    <row r="591">
      <c r="H591" s="23"/>
      <c r="I591" s="23"/>
      <c r="J591" s="23"/>
    </row>
    <row r="592">
      <c r="H592" s="23"/>
      <c r="I592" s="23"/>
      <c r="J592" s="23"/>
    </row>
    <row r="593">
      <c r="H593" s="23"/>
      <c r="I593" s="23"/>
      <c r="J593" s="23"/>
    </row>
    <row r="594">
      <c r="H594" s="23"/>
      <c r="I594" s="23"/>
      <c r="J594" s="23"/>
    </row>
    <row r="595">
      <c r="H595" s="23"/>
      <c r="I595" s="23"/>
      <c r="J595" s="23"/>
    </row>
    <row r="596">
      <c r="H596" s="23"/>
      <c r="I596" s="23"/>
      <c r="J596" s="23"/>
    </row>
    <row r="597">
      <c r="H597" s="23"/>
      <c r="I597" s="23"/>
      <c r="J597" s="23"/>
    </row>
    <row r="598">
      <c r="H598" s="23"/>
      <c r="I598" s="23"/>
      <c r="J598" s="23"/>
    </row>
    <row r="599">
      <c r="H599" s="23"/>
      <c r="I599" s="23"/>
      <c r="J599" s="23"/>
    </row>
    <row r="600">
      <c r="H600" s="23"/>
      <c r="I600" s="23"/>
      <c r="J600" s="23"/>
    </row>
    <row r="601">
      <c r="H601" s="23"/>
      <c r="I601" s="23"/>
      <c r="J601" s="23"/>
    </row>
    <row r="602">
      <c r="H602" s="23"/>
      <c r="I602" s="23"/>
      <c r="J602" s="23"/>
    </row>
    <row r="603">
      <c r="H603" s="23"/>
      <c r="I603" s="23"/>
      <c r="J603" s="23"/>
    </row>
    <row r="604">
      <c r="H604" s="23"/>
      <c r="I604" s="23"/>
      <c r="J604" s="23"/>
    </row>
    <row r="605">
      <c r="H605" s="23"/>
      <c r="I605" s="23"/>
      <c r="J605" s="23"/>
    </row>
    <row r="606">
      <c r="H606" s="23"/>
      <c r="I606" s="23"/>
      <c r="J606" s="23"/>
    </row>
    <row r="607">
      <c r="H607" s="23"/>
      <c r="I607" s="23"/>
      <c r="J607" s="23"/>
    </row>
    <row r="608">
      <c r="H608" s="23"/>
      <c r="I608" s="23"/>
      <c r="J608" s="23"/>
    </row>
    <row r="609">
      <c r="H609" s="23"/>
      <c r="I609" s="23"/>
      <c r="J609" s="23"/>
    </row>
    <row r="610">
      <c r="H610" s="23"/>
      <c r="I610" s="23"/>
      <c r="J610" s="23"/>
    </row>
    <row r="611">
      <c r="H611" s="23"/>
      <c r="I611" s="23"/>
      <c r="J611" s="23"/>
    </row>
    <row r="612">
      <c r="H612" s="23"/>
      <c r="I612" s="23"/>
      <c r="J612" s="23"/>
    </row>
    <row r="613">
      <c r="H613" s="23"/>
      <c r="I613" s="23"/>
      <c r="J613" s="23"/>
    </row>
    <row r="614">
      <c r="H614" s="23"/>
      <c r="I614" s="23"/>
      <c r="J614" s="23"/>
    </row>
    <row r="615">
      <c r="H615" s="23"/>
      <c r="I615" s="23"/>
      <c r="J615" s="23"/>
    </row>
    <row r="616">
      <c r="H616" s="23"/>
      <c r="I616" s="23"/>
      <c r="J616" s="23"/>
    </row>
    <row r="617">
      <c r="H617" s="23"/>
      <c r="I617" s="23"/>
      <c r="J617" s="23"/>
    </row>
    <row r="618">
      <c r="H618" s="23"/>
      <c r="I618" s="23"/>
      <c r="J618" s="23"/>
    </row>
    <row r="619">
      <c r="H619" s="23"/>
      <c r="I619" s="23"/>
      <c r="J619" s="23"/>
    </row>
    <row r="620">
      <c r="H620" s="23"/>
      <c r="I620" s="23"/>
      <c r="J620" s="23"/>
    </row>
    <row r="621">
      <c r="H621" s="23"/>
      <c r="I621" s="23"/>
      <c r="J621" s="23"/>
    </row>
    <row r="622">
      <c r="H622" s="23"/>
      <c r="I622" s="23"/>
      <c r="J622" s="23"/>
    </row>
    <row r="623">
      <c r="H623" s="23"/>
      <c r="I623" s="23"/>
      <c r="J623" s="23"/>
    </row>
    <row r="624">
      <c r="H624" s="23"/>
      <c r="I624" s="23"/>
      <c r="J624" s="23"/>
    </row>
    <row r="625">
      <c r="H625" s="23"/>
      <c r="I625" s="23"/>
      <c r="J625" s="23"/>
    </row>
    <row r="626">
      <c r="H626" s="23"/>
      <c r="I626" s="23"/>
      <c r="J626" s="23"/>
    </row>
    <row r="627">
      <c r="H627" s="23"/>
      <c r="I627" s="23"/>
      <c r="J627" s="23"/>
    </row>
    <row r="628">
      <c r="H628" s="23"/>
      <c r="I628" s="23"/>
      <c r="J628" s="23"/>
    </row>
    <row r="629">
      <c r="H629" s="23"/>
      <c r="I629" s="23"/>
      <c r="J629" s="23"/>
    </row>
    <row r="630">
      <c r="H630" s="23"/>
      <c r="I630" s="23"/>
      <c r="J630" s="23"/>
    </row>
    <row r="631">
      <c r="H631" s="23"/>
      <c r="I631" s="23"/>
      <c r="J631" s="23"/>
    </row>
    <row r="632">
      <c r="H632" s="23"/>
      <c r="I632" s="23"/>
      <c r="J632" s="23"/>
    </row>
    <row r="633">
      <c r="H633" s="23"/>
      <c r="I633" s="23"/>
      <c r="J633" s="23"/>
    </row>
    <row r="634">
      <c r="H634" s="23"/>
      <c r="I634" s="23"/>
      <c r="J634" s="23"/>
    </row>
    <row r="635">
      <c r="H635" s="23"/>
      <c r="I635" s="23"/>
      <c r="J635" s="23"/>
    </row>
    <row r="636">
      <c r="H636" s="23"/>
      <c r="I636" s="23"/>
      <c r="J636" s="23"/>
    </row>
    <row r="637">
      <c r="H637" s="23"/>
      <c r="I637" s="23"/>
      <c r="J637" s="23"/>
    </row>
    <row r="638">
      <c r="H638" s="23"/>
      <c r="I638" s="23"/>
      <c r="J638" s="23"/>
    </row>
    <row r="639">
      <c r="H639" s="23"/>
      <c r="I639" s="23"/>
      <c r="J639" s="23"/>
    </row>
    <row r="640">
      <c r="H640" s="23"/>
      <c r="I640" s="23"/>
      <c r="J640" s="23"/>
    </row>
    <row r="641">
      <c r="H641" s="23"/>
      <c r="I641" s="23"/>
      <c r="J641" s="23"/>
    </row>
    <row r="642">
      <c r="H642" s="23"/>
      <c r="I642" s="23"/>
      <c r="J642" s="23"/>
    </row>
    <row r="643">
      <c r="H643" s="23"/>
      <c r="I643" s="23"/>
      <c r="J643" s="23"/>
    </row>
    <row r="644">
      <c r="H644" s="23"/>
      <c r="I644" s="23"/>
      <c r="J644" s="23"/>
    </row>
    <row r="645">
      <c r="H645" s="23"/>
      <c r="I645" s="23"/>
      <c r="J645" s="23"/>
    </row>
    <row r="646">
      <c r="H646" s="23"/>
      <c r="I646" s="23"/>
      <c r="J646" s="23"/>
    </row>
    <row r="647">
      <c r="H647" s="23"/>
      <c r="I647" s="23"/>
      <c r="J647" s="23"/>
    </row>
    <row r="648">
      <c r="H648" s="23"/>
      <c r="I648" s="23"/>
      <c r="J648" s="23"/>
    </row>
    <row r="649">
      <c r="H649" s="23"/>
      <c r="I649" s="23"/>
      <c r="J649" s="23"/>
    </row>
    <row r="650">
      <c r="H650" s="23"/>
      <c r="I650" s="23"/>
      <c r="J650" s="23"/>
    </row>
    <row r="651">
      <c r="H651" s="23"/>
      <c r="I651" s="23"/>
      <c r="J651" s="23"/>
    </row>
    <row r="652">
      <c r="H652" s="23"/>
      <c r="I652" s="23"/>
      <c r="J652" s="23"/>
    </row>
    <row r="653">
      <c r="H653" s="23"/>
      <c r="I653" s="23"/>
      <c r="J653" s="23"/>
    </row>
    <row r="654">
      <c r="H654" s="23"/>
      <c r="I654" s="23"/>
      <c r="J654" s="23"/>
    </row>
    <row r="655">
      <c r="H655" s="23"/>
      <c r="I655" s="23"/>
      <c r="J655" s="23"/>
    </row>
    <row r="656">
      <c r="H656" s="23"/>
      <c r="I656" s="23"/>
      <c r="J656" s="23"/>
    </row>
    <row r="657">
      <c r="H657" s="23"/>
      <c r="I657" s="23"/>
      <c r="J657" s="23"/>
    </row>
    <row r="658">
      <c r="H658" s="23"/>
      <c r="I658" s="23"/>
      <c r="J658" s="23"/>
    </row>
    <row r="659">
      <c r="H659" s="23"/>
      <c r="I659" s="23"/>
      <c r="J659" s="23"/>
    </row>
    <row r="660">
      <c r="H660" s="23"/>
      <c r="I660" s="23"/>
      <c r="J660" s="23"/>
    </row>
    <row r="661">
      <c r="H661" s="23"/>
      <c r="I661" s="23"/>
      <c r="J661" s="23"/>
    </row>
    <row r="662">
      <c r="H662" s="23"/>
      <c r="I662" s="23"/>
      <c r="J662" s="23"/>
    </row>
    <row r="663">
      <c r="H663" s="23"/>
      <c r="I663" s="23"/>
      <c r="J663" s="23"/>
    </row>
    <row r="664">
      <c r="H664" s="23"/>
      <c r="I664" s="23"/>
      <c r="J664" s="23"/>
    </row>
    <row r="665">
      <c r="H665" s="23"/>
      <c r="I665" s="23"/>
      <c r="J665" s="23"/>
    </row>
    <row r="666">
      <c r="H666" s="23"/>
      <c r="I666" s="23"/>
      <c r="J666" s="23"/>
    </row>
    <row r="667">
      <c r="H667" s="23"/>
      <c r="I667" s="23"/>
      <c r="J667" s="23"/>
    </row>
    <row r="668">
      <c r="H668" s="23"/>
      <c r="I668" s="23"/>
      <c r="J668" s="23"/>
    </row>
    <row r="669">
      <c r="H669" s="23"/>
      <c r="I669" s="23"/>
      <c r="J669" s="23"/>
    </row>
    <row r="670">
      <c r="H670" s="23"/>
      <c r="I670" s="23"/>
      <c r="J670" s="23"/>
    </row>
    <row r="671">
      <c r="H671" s="23"/>
      <c r="I671" s="23"/>
      <c r="J671" s="23"/>
    </row>
    <row r="672">
      <c r="H672" s="23"/>
      <c r="I672" s="23"/>
      <c r="J672" s="23"/>
    </row>
    <row r="673">
      <c r="H673" s="23"/>
      <c r="I673" s="23"/>
      <c r="J673" s="23"/>
    </row>
    <row r="674">
      <c r="H674" s="23"/>
      <c r="I674" s="23"/>
      <c r="J674" s="23"/>
    </row>
    <row r="675">
      <c r="H675" s="23"/>
      <c r="I675" s="23"/>
      <c r="J675" s="23"/>
    </row>
    <row r="676">
      <c r="H676" s="23"/>
      <c r="I676" s="23"/>
      <c r="J676" s="23"/>
    </row>
    <row r="677">
      <c r="H677" s="23"/>
      <c r="I677" s="23"/>
      <c r="J677" s="23"/>
    </row>
    <row r="678">
      <c r="H678" s="23"/>
      <c r="I678" s="23"/>
      <c r="J678" s="23"/>
    </row>
    <row r="679">
      <c r="H679" s="23"/>
      <c r="I679" s="23"/>
      <c r="J679" s="23"/>
    </row>
    <row r="680">
      <c r="H680" s="23"/>
      <c r="I680" s="23"/>
      <c r="J680" s="23"/>
    </row>
    <row r="681">
      <c r="H681" s="23"/>
      <c r="I681" s="23"/>
      <c r="J681" s="23"/>
    </row>
    <row r="682">
      <c r="H682" s="23"/>
      <c r="I682" s="23"/>
      <c r="J682" s="23"/>
    </row>
    <row r="683">
      <c r="H683" s="23"/>
      <c r="I683" s="23"/>
      <c r="J683" s="23"/>
    </row>
    <row r="684">
      <c r="H684" s="23"/>
      <c r="I684" s="23"/>
      <c r="J684" s="23"/>
    </row>
    <row r="685">
      <c r="H685" s="23"/>
      <c r="I685" s="23"/>
      <c r="J685" s="23"/>
    </row>
    <row r="686">
      <c r="H686" s="23"/>
      <c r="I686" s="23"/>
      <c r="J686" s="23"/>
    </row>
    <row r="687">
      <c r="H687" s="23"/>
      <c r="I687" s="23"/>
      <c r="J687" s="23"/>
    </row>
    <row r="688">
      <c r="H688" s="23"/>
      <c r="I688" s="23"/>
      <c r="J688" s="23"/>
    </row>
    <row r="689">
      <c r="H689" s="23"/>
      <c r="I689" s="23"/>
      <c r="J689" s="23"/>
    </row>
    <row r="690">
      <c r="H690" s="23"/>
      <c r="I690" s="23"/>
      <c r="J690" s="23"/>
    </row>
    <row r="691">
      <c r="H691" s="23"/>
      <c r="I691" s="23"/>
      <c r="J691" s="23"/>
    </row>
    <row r="692">
      <c r="H692" s="23"/>
      <c r="I692" s="23"/>
      <c r="J692" s="23"/>
    </row>
    <row r="693">
      <c r="H693" s="23"/>
      <c r="I693" s="23"/>
      <c r="J693" s="23"/>
    </row>
    <row r="694">
      <c r="H694" s="23"/>
      <c r="I694" s="23"/>
      <c r="J694" s="23"/>
    </row>
    <row r="695">
      <c r="H695" s="23"/>
      <c r="I695" s="23"/>
      <c r="J695" s="23"/>
    </row>
    <row r="696">
      <c r="H696" s="23"/>
      <c r="I696" s="23"/>
      <c r="J696" s="23"/>
    </row>
    <row r="697">
      <c r="H697" s="23"/>
      <c r="I697" s="23"/>
      <c r="J697" s="23"/>
    </row>
    <row r="698">
      <c r="H698" s="23"/>
      <c r="I698" s="23"/>
      <c r="J698" s="23"/>
    </row>
    <row r="699">
      <c r="H699" s="23"/>
      <c r="I699" s="23"/>
      <c r="J699" s="23"/>
    </row>
    <row r="700">
      <c r="H700" s="23"/>
      <c r="I700" s="23"/>
      <c r="J700" s="23"/>
    </row>
    <row r="701">
      <c r="H701" s="23"/>
      <c r="I701" s="23"/>
      <c r="J701" s="23"/>
    </row>
    <row r="702">
      <c r="H702" s="23"/>
      <c r="I702" s="23"/>
      <c r="J702" s="23"/>
    </row>
    <row r="703">
      <c r="H703" s="23"/>
      <c r="I703" s="23"/>
      <c r="J703" s="23"/>
    </row>
    <row r="704">
      <c r="H704" s="23"/>
      <c r="I704" s="23"/>
      <c r="J704" s="23"/>
    </row>
    <row r="705">
      <c r="H705" s="23"/>
      <c r="I705" s="23"/>
      <c r="J705" s="23"/>
    </row>
    <row r="706">
      <c r="H706" s="23"/>
      <c r="I706" s="23"/>
      <c r="J706" s="23"/>
    </row>
    <row r="707">
      <c r="H707" s="23"/>
      <c r="I707" s="23"/>
      <c r="J707" s="23"/>
    </row>
    <row r="708">
      <c r="H708" s="23"/>
      <c r="I708" s="23"/>
      <c r="J708" s="23"/>
    </row>
    <row r="709">
      <c r="H709" s="23"/>
      <c r="I709" s="23"/>
      <c r="J709" s="23"/>
    </row>
    <row r="710">
      <c r="H710" s="23"/>
      <c r="I710" s="23"/>
      <c r="J710" s="23"/>
    </row>
    <row r="711">
      <c r="H711" s="23"/>
      <c r="I711" s="23"/>
      <c r="J711" s="23"/>
    </row>
    <row r="712">
      <c r="H712" s="23"/>
      <c r="I712" s="23"/>
      <c r="J712" s="23"/>
    </row>
    <row r="713">
      <c r="H713" s="23"/>
      <c r="I713" s="23"/>
      <c r="J713" s="23"/>
    </row>
    <row r="714">
      <c r="H714" s="23"/>
      <c r="I714" s="23"/>
      <c r="J714" s="23"/>
    </row>
    <row r="715">
      <c r="H715" s="23"/>
      <c r="I715" s="23"/>
      <c r="J715" s="23"/>
    </row>
    <row r="716">
      <c r="H716" s="23"/>
      <c r="I716" s="23"/>
      <c r="J716" s="23"/>
    </row>
    <row r="717">
      <c r="H717" s="23"/>
      <c r="I717" s="23"/>
      <c r="J717" s="23"/>
    </row>
    <row r="718">
      <c r="H718" s="23"/>
      <c r="I718" s="23"/>
      <c r="J718" s="23"/>
    </row>
    <row r="719">
      <c r="H719" s="23"/>
      <c r="I719" s="23"/>
      <c r="J719" s="23"/>
    </row>
    <row r="720">
      <c r="H720" s="23"/>
      <c r="I720" s="23"/>
      <c r="J720" s="23"/>
    </row>
    <row r="721">
      <c r="H721" s="23"/>
      <c r="I721" s="23"/>
      <c r="J721" s="23"/>
    </row>
    <row r="722">
      <c r="H722" s="23"/>
      <c r="I722" s="23"/>
      <c r="J722" s="23"/>
    </row>
    <row r="723">
      <c r="H723" s="23"/>
      <c r="I723" s="23"/>
      <c r="J723" s="23"/>
    </row>
    <row r="724">
      <c r="H724" s="23"/>
      <c r="I724" s="23"/>
      <c r="J724" s="23"/>
    </row>
    <row r="725">
      <c r="H725" s="23"/>
      <c r="I725" s="23"/>
      <c r="J725" s="23"/>
    </row>
    <row r="726">
      <c r="H726" s="23"/>
      <c r="I726" s="23"/>
      <c r="J726" s="23"/>
    </row>
    <row r="727">
      <c r="H727" s="23"/>
      <c r="I727" s="23"/>
      <c r="J727" s="23"/>
    </row>
    <row r="728">
      <c r="H728" s="23"/>
      <c r="I728" s="23"/>
      <c r="J728" s="23"/>
    </row>
    <row r="729">
      <c r="H729" s="23"/>
      <c r="I729" s="23"/>
      <c r="J729" s="23"/>
    </row>
    <row r="730">
      <c r="H730" s="23"/>
      <c r="I730" s="23"/>
      <c r="J730" s="23"/>
    </row>
    <row r="731">
      <c r="H731" s="23"/>
      <c r="I731" s="23"/>
      <c r="J731" s="23"/>
    </row>
    <row r="732">
      <c r="H732" s="23"/>
      <c r="I732" s="23"/>
      <c r="J732" s="23"/>
    </row>
    <row r="733">
      <c r="H733" s="23"/>
      <c r="I733" s="23"/>
      <c r="J733" s="23"/>
    </row>
    <row r="734">
      <c r="H734" s="23"/>
      <c r="I734" s="23"/>
      <c r="J734" s="23"/>
    </row>
    <row r="735">
      <c r="H735" s="23"/>
      <c r="I735" s="23"/>
      <c r="J735" s="23"/>
    </row>
    <row r="736">
      <c r="H736" s="23"/>
      <c r="I736" s="23"/>
      <c r="J736" s="23"/>
    </row>
    <row r="737">
      <c r="H737" s="23"/>
      <c r="I737" s="23"/>
      <c r="J737" s="23"/>
    </row>
    <row r="738">
      <c r="H738" s="23"/>
      <c r="I738" s="23"/>
      <c r="J738" s="23"/>
    </row>
    <row r="739">
      <c r="H739" s="23"/>
      <c r="I739" s="23"/>
      <c r="J739" s="23"/>
    </row>
    <row r="740">
      <c r="H740" s="23"/>
      <c r="I740" s="23"/>
      <c r="J740" s="23"/>
    </row>
    <row r="741">
      <c r="H741" s="23"/>
      <c r="I741" s="23"/>
      <c r="J741" s="23"/>
    </row>
    <row r="742">
      <c r="H742" s="23"/>
      <c r="I742" s="23"/>
      <c r="J742" s="23"/>
    </row>
    <row r="743">
      <c r="H743" s="23"/>
      <c r="I743" s="23"/>
      <c r="J743" s="23"/>
    </row>
    <row r="744">
      <c r="H744" s="23"/>
      <c r="I744" s="23"/>
      <c r="J744" s="23"/>
    </row>
    <row r="745">
      <c r="H745" s="23"/>
      <c r="I745" s="23"/>
      <c r="J745" s="23"/>
    </row>
    <row r="746">
      <c r="H746" s="23"/>
      <c r="I746" s="23"/>
      <c r="J746" s="23"/>
    </row>
    <row r="747">
      <c r="H747" s="23"/>
      <c r="I747" s="23"/>
      <c r="J747" s="23"/>
    </row>
    <row r="748">
      <c r="H748" s="23"/>
      <c r="I748" s="23"/>
      <c r="J748" s="23"/>
    </row>
    <row r="749">
      <c r="H749" s="23"/>
      <c r="I749" s="23"/>
      <c r="J749" s="23"/>
    </row>
    <row r="750">
      <c r="H750" s="23"/>
      <c r="I750" s="23"/>
      <c r="J750" s="23"/>
    </row>
    <row r="751">
      <c r="H751" s="23"/>
      <c r="I751" s="23"/>
      <c r="J751" s="23"/>
    </row>
    <row r="752">
      <c r="H752" s="23"/>
      <c r="I752" s="23"/>
      <c r="J752" s="23"/>
    </row>
    <row r="753">
      <c r="H753" s="23"/>
      <c r="I753" s="23"/>
      <c r="J753" s="23"/>
    </row>
    <row r="754">
      <c r="H754" s="23"/>
      <c r="I754" s="23"/>
      <c r="J754" s="23"/>
    </row>
    <row r="755">
      <c r="H755" s="23"/>
      <c r="I755" s="23"/>
      <c r="J755" s="23"/>
    </row>
    <row r="756">
      <c r="H756" s="23"/>
      <c r="I756" s="23"/>
      <c r="J756" s="23"/>
    </row>
    <row r="757">
      <c r="H757" s="23"/>
      <c r="I757" s="23"/>
      <c r="J757" s="23"/>
    </row>
    <row r="758">
      <c r="H758" s="23"/>
      <c r="I758" s="23"/>
      <c r="J758" s="23"/>
    </row>
    <row r="759">
      <c r="H759" s="23"/>
      <c r="I759" s="23"/>
      <c r="J759" s="23"/>
    </row>
    <row r="760">
      <c r="H760" s="23"/>
      <c r="I760" s="23"/>
      <c r="J760" s="23"/>
    </row>
    <row r="761">
      <c r="H761" s="23"/>
      <c r="I761" s="23"/>
      <c r="J761" s="23"/>
    </row>
    <row r="762">
      <c r="H762" s="23"/>
      <c r="I762" s="23"/>
      <c r="J762" s="23"/>
    </row>
    <row r="763">
      <c r="H763" s="23"/>
      <c r="I763" s="23"/>
      <c r="J763" s="23"/>
    </row>
    <row r="764">
      <c r="H764" s="23"/>
      <c r="I764" s="23"/>
      <c r="J764" s="23"/>
    </row>
    <row r="765">
      <c r="H765" s="23"/>
      <c r="I765" s="23"/>
      <c r="J765" s="23"/>
    </row>
    <row r="766">
      <c r="H766" s="23"/>
      <c r="I766" s="23"/>
      <c r="J766" s="23"/>
    </row>
    <row r="767">
      <c r="H767" s="23"/>
      <c r="I767" s="23"/>
      <c r="J767" s="23"/>
    </row>
    <row r="768">
      <c r="H768" s="23"/>
      <c r="I768" s="23"/>
      <c r="J768" s="23"/>
    </row>
    <row r="769">
      <c r="H769" s="23"/>
      <c r="I769" s="23"/>
      <c r="J769" s="23"/>
    </row>
    <row r="770">
      <c r="H770" s="23"/>
      <c r="I770" s="23"/>
      <c r="J770" s="23"/>
    </row>
    <row r="771">
      <c r="H771" s="23"/>
      <c r="I771" s="23"/>
      <c r="J771" s="23"/>
    </row>
    <row r="772">
      <c r="H772" s="23"/>
      <c r="I772" s="23"/>
      <c r="J772" s="23"/>
    </row>
    <row r="773">
      <c r="H773" s="23"/>
      <c r="I773" s="23"/>
      <c r="J773" s="23"/>
    </row>
    <row r="774">
      <c r="H774" s="23"/>
      <c r="I774" s="23"/>
      <c r="J774" s="23"/>
    </row>
    <row r="775">
      <c r="H775" s="23"/>
      <c r="I775" s="23"/>
      <c r="J775" s="23"/>
    </row>
    <row r="776">
      <c r="H776" s="23"/>
      <c r="I776" s="23"/>
      <c r="J776" s="23"/>
    </row>
    <row r="777">
      <c r="H777" s="23"/>
      <c r="I777" s="23"/>
      <c r="J777" s="23"/>
    </row>
    <row r="778">
      <c r="H778" s="23"/>
      <c r="I778" s="23"/>
      <c r="J778" s="23"/>
    </row>
    <row r="779">
      <c r="H779" s="23"/>
      <c r="I779" s="23"/>
      <c r="J779" s="23"/>
    </row>
    <row r="780">
      <c r="H780" s="23"/>
      <c r="I780" s="23"/>
      <c r="J780" s="23"/>
    </row>
    <row r="781">
      <c r="H781" s="23"/>
      <c r="I781" s="23"/>
      <c r="J781" s="23"/>
    </row>
    <row r="782">
      <c r="H782" s="23"/>
      <c r="I782" s="23"/>
      <c r="J782" s="23"/>
    </row>
    <row r="783">
      <c r="H783" s="23"/>
      <c r="I783" s="23"/>
      <c r="J783" s="23"/>
    </row>
    <row r="784">
      <c r="H784" s="23"/>
      <c r="I784" s="23"/>
      <c r="J784" s="23"/>
    </row>
    <row r="785">
      <c r="H785" s="23"/>
      <c r="I785" s="23"/>
      <c r="J785" s="23"/>
    </row>
    <row r="786">
      <c r="H786" s="23"/>
      <c r="I786" s="23"/>
      <c r="J786" s="23"/>
    </row>
    <row r="787">
      <c r="H787" s="23"/>
      <c r="I787" s="23"/>
      <c r="J787" s="23"/>
    </row>
    <row r="788">
      <c r="H788" s="23"/>
      <c r="I788" s="23"/>
      <c r="J788" s="23"/>
    </row>
    <row r="789">
      <c r="H789" s="23"/>
      <c r="I789" s="23"/>
      <c r="J789" s="23"/>
    </row>
    <row r="790">
      <c r="H790" s="23"/>
      <c r="I790" s="23"/>
      <c r="J790" s="23"/>
    </row>
    <row r="791">
      <c r="H791" s="23"/>
      <c r="I791" s="23"/>
      <c r="J791" s="23"/>
    </row>
    <row r="792">
      <c r="H792" s="23"/>
      <c r="I792" s="23"/>
      <c r="J792" s="23"/>
    </row>
    <row r="793">
      <c r="H793" s="23"/>
      <c r="I793" s="23"/>
      <c r="J793" s="23"/>
    </row>
    <row r="794">
      <c r="H794" s="23"/>
      <c r="I794" s="23"/>
      <c r="J794" s="23"/>
    </row>
    <row r="795">
      <c r="H795" s="23"/>
      <c r="I795" s="23"/>
      <c r="J795" s="23"/>
    </row>
    <row r="796">
      <c r="H796" s="23"/>
      <c r="I796" s="23"/>
      <c r="J796" s="23"/>
    </row>
    <row r="797">
      <c r="H797" s="23"/>
      <c r="I797" s="23"/>
      <c r="J797" s="23"/>
    </row>
    <row r="798">
      <c r="H798" s="23"/>
      <c r="I798" s="23"/>
      <c r="J798" s="23"/>
    </row>
    <row r="799">
      <c r="H799" s="23"/>
      <c r="I799" s="23"/>
      <c r="J799" s="23"/>
    </row>
    <row r="800">
      <c r="H800" s="23"/>
      <c r="I800" s="23"/>
      <c r="J800" s="23"/>
    </row>
    <row r="801">
      <c r="H801" s="23"/>
      <c r="I801" s="23"/>
      <c r="J801" s="23"/>
    </row>
    <row r="802">
      <c r="H802" s="23"/>
      <c r="I802" s="23"/>
      <c r="J802" s="23"/>
    </row>
    <row r="803">
      <c r="H803" s="23"/>
      <c r="I803" s="23"/>
      <c r="J803" s="23"/>
    </row>
    <row r="804">
      <c r="H804" s="23"/>
      <c r="I804" s="23"/>
      <c r="J804" s="23"/>
    </row>
    <row r="805">
      <c r="H805" s="23"/>
      <c r="I805" s="23"/>
      <c r="J805" s="23"/>
    </row>
    <row r="806">
      <c r="H806" s="23"/>
      <c r="I806" s="23"/>
      <c r="J806" s="23"/>
    </row>
    <row r="807">
      <c r="H807" s="23"/>
      <c r="I807" s="23"/>
      <c r="J807" s="23"/>
    </row>
    <row r="808">
      <c r="H808" s="23"/>
      <c r="I808" s="23"/>
      <c r="J808" s="23"/>
    </row>
    <row r="809">
      <c r="H809" s="23"/>
      <c r="I809" s="23"/>
      <c r="J809" s="23"/>
    </row>
    <row r="810">
      <c r="H810" s="23"/>
      <c r="I810" s="23"/>
      <c r="J810" s="23"/>
    </row>
    <row r="811">
      <c r="H811" s="23"/>
      <c r="I811" s="23"/>
      <c r="J811" s="23"/>
    </row>
    <row r="812">
      <c r="H812" s="23"/>
      <c r="I812" s="23"/>
      <c r="J812" s="23"/>
    </row>
    <row r="813">
      <c r="H813" s="23"/>
      <c r="I813" s="23"/>
      <c r="J813" s="23"/>
    </row>
    <row r="814">
      <c r="H814" s="23"/>
      <c r="I814" s="23"/>
      <c r="J814" s="23"/>
    </row>
    <row r="815">
      <c r="H815" s="23"/>
      <c r="I815" s="23"/>
      <c r="J815" s="23"/>
    </row>
    <row r="816">
      <c r="H816" s="23"/>
      <c r="I816" s="23"/>
      <c r="J816" s="23"/>
    </row>
    <row r="817">
      <c r="H817" s="23"/>
      <c r="I817" s="23"/>
      <c r="J817" s="23"/>
    </row>
    <row r="818">
      <c r="H818" s="23"/>
      <c r="I818" s="23"/>
      <c r="J818" s="23"/>
    </row>
    <row r="819">
      <c r="H819" s="23"/>
      <c r="I819" s="23"/>
      <c r="J819" s="23"/>
    </row>
    <row r="820">
      <c r="H820" s="23"/>
      <c r="I820" s="23"/>
      <c r="J820" s="23"/>
    </row>
    <row r="821">
      <c r="H821" s="23"/>
      <c r="I821" s="23"/>
      <c r="J821" s="23"/>
    </row>
    <row r="822">
      <c r="H822" s="23"/>
      <c r="I822" s="23"/>
      <c r="J822" s="23"/>
    </row>
    <row r="823">
      <c r="H823" s="23"/>
      <c r="I823" s="23"/>
      <c r="J823" s="23"/>
    </row>
    <row r="824">
      <c r="H824" s="23"/>
      <c r="I824" s="23"/>
      <c r="J824" s="23"/>
    </row>
    <row r="825">
      <c r="H825" s="23"/>
      <c r="I825" s="23"/>
      <c r="J825" s="23"/>
    </row>
    <row r="826">
      <c r="H826" s="23"/>
      <c r="I826" s="23"/>
      <c r="J826" s="23"/>
    </row>
    <row r="827">
      <c r="H827" s="23"/>
      <c r="I827" s="23"/>
      <c r="J827" s="23"/>
    </row>
    <row r="828">
      <c r="H828" s="23"/>
      <c r="I828" s="23"/>
      <c r="J828" s="23"/>
    </row>
    <row r="829">
      <c r="H829" s="23"/>
      <c r="I829" s="23"/>
      <c r="J829" s="23"/>
    </row>
    <row r="830">
      <c r="H830" s="23"/>
      <c r="I830" s="23"/>
      <c r="J830" s="23"/>
    </row>
    <row r="831">
      <c r="H831" s="23"/>
      <c r="I831" s="23"/>
      <c r="J831" s="23"/>
    </row>
    <row r="832">
      <c r="H832" s="23"/>
      <c r="I832" s="23"/>
      <c r="J832" s="23"/>
    </row>
    <row r="833">
      <c r="H833" s="23"/>
      <c r="I833" s="23"/>
      <c r="J833" s="23"/>
    </row>
    <row r="834">
      <c r="H834" s="23"/>
      <c r="I834" s="23"/>
      <c r="J834" s="23"/>
    </row>
    <row r="835">
      <c r="H835" s="23"/>
      <c r="I835" s="23"/>
      <c r="J835" s="23"/>
    </row>
    <row r="836">
      <c r="H836" s="23"/>
      <c r="I836" s="23"/>
      <c r="J836" s="23"/>
    </row>
    <row r="837">
      <c r="H837" s="23"/>
      <c r="I837" s="23"/>
      <c r="J837" s="23"/>
    </row>
    <row r="838">
      <c r="H838" s="23"/>
      <c r="I838" s="23"/>
      <c r="J838" s="23"/>
    </row>
    <row r="839">
      <c r="H839" s="23"/>
      <c r="I839" s="23"/>
      <c r="J839" s="23"/>
    </row>
    <row r="840">
      <c r="H840" s="23"/>
      <c r="I840" s="23"/>
      <c r="J840" s="23"/>
    </row>
    <row r="841">
      <c r="H841" s="23"/>
      <c r="I841" s="23"/>
      <c r="J841" s="23"/>
    </row>
    <row r="842">
      <c r="H842" s="23"/>
      <c r="I842" s="23"/>
      <c r="J842" s="23"/>
    </row>
    <row r="843">
      <c r="H843" s="23"/>
      <c r="I843" s="23"/>
      <c r="J843" s="23"/>
    </row>
    <row r="844">
      <c r="H844" s="23"/>
      <c r="I844" s="23"/>
      <c r="J844" s="23"/>
    </row>
    <row r="845">
      <c r="H845" s="23"/>
      <c r="I845" s="23"/>
      <c r="J845" s="23"/>
    </row>
    <row r="846">
      <c r="H846" s="23"/>
      <c r="I846" s="23"/>
      <c r="J846" s="23"/>
    </row>
    <row r="847">
      <c r="H847" s="23"/>
      <c r="I847" s="23"/>
      <c r="J847" s="23"/>
    </row>
    <row r="848">
      <c r="H848" s="23"/>
      <c r="I848" s="23"/>
      <c r="J848" s="23"/>
    </row>
    <row r="849">
      <c r="H849" s="23"/>
      <c r="I849" s="23"/>
      <c r="J849" s="23"/>
    </row>
    <row r="850">
      <c r="H850" s="23"/>
      <c r="I850" s="23"/>
      <c r="J850" s="23"/>
    </row>
    <row r="851">
      <c r="H851" s="23"/>
      <c r="I851" s="23"/>
      <c r="J851" s="23"/>
    </row>
    <row r="852">
      <c r="H852" s="23"/>
      <c r="I852" s="23"/>
      <c r="J852" s="23"/>
    </row>
    <row r="853">
      <c r="H853" s="23"/>
      <c r="I853" s="23"/>
      <c r="J853" s="23"/>
    </row>
    <row r="854">
      <c r="H854" s="23"/>
      <c r="I854" s="23"/>
      <c r="J854" s="23"/>
    </row>
    <row r="855">
      <c r="H855" s="23"/>
      <c r="I855" s="23"/>
      <c r="J855" s="23"/>
    </row>
    <row r="856">
      <c r="H856" s="23"/>
      <c r="I856" s="23"/>
      <c r="J856" s="23"/>
    </row>
    <row r="857">
      <c r="H857" s="23"/>
      <c r="I857" s="23"/>
      <c r="J857" s="23"/>
    </row>
    <row r="858">
      <c r="H858" s="23"/>
      <c r="I858" s="23"/>
      <c r="J858" s="23"/>
    </row>
    <row r="859">
      <c r="H859" s="23"/>
      <c r="I859" s="23"/>
      <c r="J859" s="23"/>
    </row>
    <row r="860">
      <c r="H860" s="23"/>
      <c r="I860" s="23"/>
      <c r="J860" s="23"/>
    </row>
    <row r="861">
      <c r="H861" s="23"/>
      <c r="I861" s="23"/>
      <c r="J861" s="23"/>
    </row>
    <row r="862">
      <c r="H862" s="23"/>
      <c r="I862" s="23"/>
      <c r="J862" s="23"/>
    </row>
    <row r="863">
      <c r="H863" s="23"/>
      <c r="I863" s="23"/>
      <c r="J863" s="23"/>
    </row>
    <row r="864">
      <c r="H864" s="23"/>
      <c r="I864" s="23"/>
      <c r="J864" s="23"/>
    </row>
    <row r="865">
      <c r="H865" s="23"/>
      <c r="I865" s="23"/>
      <c r="J865" s="23"/>
    </row>
    <row r="866">
      <c r="H866" s="23"/>
      <c r="I866" s="23"/>
      <c r="J866" s="23"/>
    </row>
    <row r="867">
      <c r="H867" s="23"/>
      <c r="I867" s="23"/>
      <c r="J867" s="23"/>
    </row>
    <row r="868">
      <c r="H868" s="23"/>
      <c r="I868" s="23"/>
      <c r="J868" s="23"/>
    </row>
    <row r="869">
      <c r="H869" s="23"/>
      <c r="I869" s="23"/>
      <c r="J869" s="23"/>
    </row>
    <row r="870">
      <c r="H870" s="23"/>
      <c r="I870" s="23"/>
      <c r="J870" s="23"/>
    </row>
    <row r="871">
      <c r="H871" s="23"/>
      <c r="I871" s="23"/>
      <c r="J871" s="23"/>
    </row>
    <row r="872">
      <c r="H872" s="23"/>
      <c r="I872" s="23"/>
      <c r="J872" s="23"/>
    </row>
    <row r="873">
      <c r="H873" s="23"/>
      <c r="I873" s="23"/>
      <c r="J873" s="23"/>
    </row>
    <row r="874">
      <c r="H874" s="23"/>
      <c r="I874" s="23"/>
      <c r="J874" s="23"/>
    </row>
    <row r="875">
      <c r="H875" s="23"/>
      <c r="I875" s="23"/>
      <c r="J875" s="23"/>
    </row>
    <row r="876">
      <c r="H876" s="23"/>
      <c r="I876" s="23"/>
      <c r="J876" s="23"/>
    </row>
    <row r="877">
      <c r="H877" s="23"/>
      <c r="I877" s="23"/>
      <c r="J877" s="23"/>
    </row>
    <row r="878">
      <c r="H878" s="23"/>
      <c r="I878" s="23"/>
      <c r="J878" s="23"/>
    </row>
    <row r="879">
      <c r="H879" s="23"/>
      <c r="I879" s="23"/>
      <c r="J879" s="23"/>
    </row>
    <row r="880">
      <c r="H880" s="23"/>
      <c r="I880" s="23"/>
      <c r="J880" s="23"/>
    </row>
    <row r="881">
      <c r="H881" s="23"/>
      <c r="I881" s="23"/>
      <c r="J881" s="23"/>
    </row>
    <row r="882">
      <c r="H882" s="23"/>
      <c r="I882" s="23"/>
      <c r="J882" s="23"/>
    </row>
    <row r="883">
      <c r="H883" s="23"/>
      <c r="I883" s="23"/>
      <c r="J883" s="23"/>
    </row>
    <row r="884">
      <c r="H884" s="23"/>
      <c r="I884" s="23"/>
      <c r="J884" s="23"/>
    </row>
    <row r="885">
      <c r="H885" s="23"/>
      <c r="I885" s="23"/>
      <c r="J885" s="23"/>
    </row>
    <row r="886">
      <c r="H886" s="23"/>
      <c r="I886" s="23"/>
      <c r="J886" s="23"/>
    </row>
    <row r="887">
      <c r="H887" s="23"/>
      <c r="I887" s="23"/>
      <c r="J887" s="23"/>
    </row>
    <row r="888">
      <c r="H888" s="23"/>
      <c r="I888" s="23"/>
      <c r="J888" s="23"/>
    </row>
    <row r="889">
      <c r="H889" s="23"/>
      <c r="I889" s="23"/>
      <c r="J889" s="23"/>
    </row>
    <row r="890">
      <c r="H890" s="23"/>
      <c r="I890" s="23"/>
      <c r="J890" s="23"/>
    </row>
    <row r="891">
      <c r="H891" s="23"/>
      <c r="I891" s="23"/>
      <c r="J891" s="23"/>
    </row>
    <row r="892">
      <c r="H892" s="23"/>
      <c r="I892" s="23"/>
      <c r="J892" s="23"/>
    </row>
    <row r="893">
      <c r="H893" s="23"/>
      <c r="I893" s="23"/>
      <c r="J893" s="23"/>
    </row>
    <row r="894">
      <c r="H894" s="23"/>
      <c r="I894" s="23"/>
      <c r="J894" s="23"/>
    </row>
    <row r="895">
      <c r="H895" s="23"/>
      <c r="I895" s="23"/>
      <c r="J895" s="23"/>
    </row>
    <row r="896">
      <c r="H896" s="23"/>
      <c r="I896" s="23"/>
      <c r="J896" s="23"/>
    </row>
    <row r="897">
      <c r="H897" s="23"/>
      <c r="I897" s="23"/>
      <c r="J897" s="23"/>
    </row>
    <row r="898">
      <c r="H898" s="23"/>
      <c r="I898" s="23"/>
      <c r="J898" s="23"/>
    </row>
    <row r="899">
      <c r="H899" s="23"/>
      <c r="I899" s="23"/>
      <c r="J899" s="23"/>
    </row>
    <row r="900">
      <c r="H900" s="23"/>
      <c r="I900" s="23"/>
      <c r="J900" s="23"/>
    </row>
    <row r="901">
      <c r="H901" s="23"/>
      <c r="I901" s="23"/>
      <c r="J901" s="23"/>
    </row>
    <row r="902">
      <c r="H902" s="23"/>
      <c r="I902" s="23"/>
      <c r="J902" s="23"/>
    </row>
    <row r="903">
      <c r="H903" s="23"/>
      <c r="I903" s="23"/>
      <c r="J903" s="23"/>
    </row>
    <row r="904">
      <c r="H904" s="23"/>
      <c r="I904" s="23"/>
      <c r="J904" s="23"/>
    </row>
    <row r="905">
      <c r="H905" s="23"/>
      <c r="I905" s="23"/>
      <c r="J905" s="23"/>
    </row>
    <row r="906">
      <c r="H906" s="23"/>
      <c r="I906" s="23"/>
      <c r="J906" s="23"/>
    </row>
    <row r="907">
      <c r="H907" s="23"/>
      <c r="I907" s="23"/>
      <c r="J907" s="23"/>
    </row>
    <row r="908">
      <c r="H908" s="23"/>
      <c r="I908" s="23"/>
      <c r="J908" s="23"/>
    </row>
    <row r="909">
      <c r="H909" s="23"/>
      <c r="I909" s="23"/>
      <c r="J909" s="23"/>
    </row>
    <row r="910">
      <c r="H910" s="23"/>
      <c r="I910" s="23"/>
      <c r="J910" s="23"/>
    </row>
    <row r="911">
      <c r="H911" s="23"/>
      <c r="I911" s="23"/>
      <c r="J911" s="23"/>
    </row>
    <row r="912">
      <c r="H912" s="23"/>
      <c r="I912" s="23"/>
      <c r="J912" s="23"/>
    </row>
    <row r="913">
      <c r="H913" s="23"/>
      <c r="I913" s="23"/>
      <c r="J913" s="23"/>
    </row>
    <row r="914">
      <c r="H914" s="23"/>
      <c r="I914" s="23"/>
      <c r="J914" s="23"/>
    </row>
    <row r="915">
      <c r="H915" s="23"/>
      <c r="I915" s="23"/>
      <c r="J915" s="23"/>
    </row>
    <row r="916">
      <c r="H916" s="23"/>
      <c r="I916" s="23"/>
      <c r="J916" s="23"/>
    </row>
    <row r="917">
      <c r="H917" s="23"/>
      <c r="I917" s="23"/>
      <c r="J917" s="23"/>
    </row>
    <row r="918">
      <c r="H918" s="23"/>
      <c r="I918" s="23"/>
      <c r="J918" s="23"/>
    </row>
    <row r="919">
      <c r="H919" s="23"/>
      <c r="I919" s="23"/>
      <c r="J919" s="23"/>
    </row>
    <row r="920">
      <c r="H920" s="23"/>
      <c r="I920" s="23"/>
      <c r="J920" s="23"/>
    </row>
    <row r="921">
      <c r="H921" s="23"/>
      <c r="I921" s="23"/>
      <c r="J921" s="23"/>
    </row>
    <row r="922">
      <c r="H922" s="23"/>
      <c r="I922" s="23"/>
      <c r="J922" s="23"/>
    </row>
    <row r="923">
      <c r="H923" s="23"/>
      <c r="I923" s="23"/>
      <c r="J923" s="23"/>
    </row>
    <row r="924">
      <c r="H924" s="23"/>
      <c r="I924" s="23"/>
      <c r="J924" s="23"/>
    </row>
    <row r="925">
      <c r="H925" s="23"/>
      <c r="I925" s="23"/>
      <c r="J925" s="23"/>
    </row>
    <row r="926">
      <c r="H926" s="23"/>
      <c r="I926" s="23"/>
      <c r="J926" s="23"/>
    </row>
    <row r="927">
      <c r="H927" s="23"/>
      <c r="I927" s="23"/>
      <c r="J927" s="23"/>
    </row>
    <row r="928">
      <c r="H928" s="23"/>
      <c r="I928" s="23"/>
      <c r="J928" s="23"/>
    </row>
    <row r="929">
      <c r="H929" s="23"/>
      <c r="I929" s="23"/>
      <c r="J929" s="23"/>
    </row>
    <row r="930">
      <c r="H930" s="23"/>
      <c r="I930" s="23"/>
      <c r="J930" s="23"/>
    </row>
    <row r="931">
      <c r="H931" s="23"/>
      <c r="I931" s="23"/>
      <c r="J931" s="23"/>
    </row>
    <row r="932">
      <c r="H932" s="23"/>
      <c r="I932" s="23"/>
      <c r="J932" s="23"/>
    </row>
    <row r="933">
      <c r="H933" s="23"/>
      <c r="I933" s="23"/>
      <c r="J933" s="23"/>
    </row>
    <row r="934">
      <c r="H934" s="23"/>
      <c r="I934" s="23"/>
      <c r="J934" s="23"/>
    </row>
    <row r="935">
      <c r="H935" s="23"/>
      <c r="I935" s="23"/>
      <c r="J935" s="23"/>
    </row>
    <row r="936">
      <c r="H936" s="23"/>
      <c r="I936" s="23"/>
      <c r="J936" s="23"/>
    </row>
    <row r="937">
      <c r="H937" s="23"/>
      <c r="I937" s="23"/>
      <c r="J937" s="23"/>
    </row>
    <row r="938">
      <c r="H938" s="23"/>
      <c r="I938" s="23"/>
      <c r="J938" s="23"/>
    </row>
    <row r="939">
      <c r="H939" s="23"/>
      <c r="I939" s="23"/>
      <c r="J939" s="23"/>
    </row>
    <row r="940">
      <c r="H940" s="23"/>
      <c r="I940" s="23"/>
      <c r="J940" s="23"/>
    </row>
    <row r="941">
      <c r="H941" s="23"/>
      <c r="I941" s="23"/>
      <c r="J941" s="23"/>
    </row>
    <row r="942">
      <c r="H942" s="23"/>
      <c r="I942" s="23"/>
      <c r="J942" s="23"/>
    </row>
    <row r="943">
      <c r="H943" s="23"/>
      <c r="I943" s="23"/>
      <c r="J943" s="23"/>
    </row>
    <row r="944">
      <c r="H944" s="23"/>
      <c r="I944" s="23"/>
      <c r="J944" s="23"/>
    </row>
    <row r="945">
      <c r="H945" s="23"/>
      <c r="I945" s="23"/>
      <c r="J945" s="23"/>
    </row>
    <row r="946">
      <c r="H946" s="23"/>
      <c r="I946" s="23"/>
      <c r="J946" s="23"/>
    </row>
    <row r="947">
      <c r="H947" s="23"/>
      <c r="I947" s="23"/>
      <c r="J947" s="23"/>
    </row>
    <row r="948">
      <c r="H948" s="23"/>
      <c r="I948" s="23"/>
      <c r="J948" s="23"/>
    </row>
    <row r="949">
      <c r="H949" s="23"/>
      <c r="I949" s="23"/>
      <c r="J949" s="23"/>
    </row>
    <row r="950">
      <c r="H950" s="23"/>
      <c r="I950" s="23"/>
      <c r="J950" s="23"/>
    </row>
    <row r="951">
      <c r="H951" s="23"/>
      <c r="I951" s="23"/>
      <c r="J951" s="23"/>
    </row>
    <row r="952">
      <c r="H952" s="23"/>
      <c r="I952" s="23"/>
      <c r="J952" s="23"/>
    </row>
    <row r="953">
      <c r="H953" s="23"/>
      <c r="I953" s="23"/>
      <c r="J953" s="23"/>
    </row>
    <row r="954">
      <c r="H954" s="23"/>
      <c r="I954" s="23"/>
      <c r="J954" s="23"/>
    </row>
    <row r="955">
      <c r="H955" s="23"/>
      <c r="I955" s="23"/>
      <c r="J955" s="23"/>
    </row>
    <row r="956">
      <c r="H956" s="23"/>
      <c r="I956" s="23"/>
      <c r="J956" s="23"/>
    </row>
    <row r="957">
      <c r="H957" s="23"/>
      <c r="I957" s="23"/>
      <c r="J957" s="23"/>
    </row>
    <row r="958">
      <c r="H958" s="23"/>
      <c r="I958" s="23"/>
      <c r="J958" s="23"/>
    </row>
    <row r="959">
      <c r="H959" s="23"/>
      <c r="I959" s="23"/>
      <c r="J959" s="23"/>
    </row>
    <row r="960">
      <c r="H960" s="23"/>
      <c r="I960" s="23"/>
      <c r="J960" s="23"/>
    </row>
    <row r="961">
      <c r="H961" s="23"/>
      <c r="I961" s="23"/>
      <c r="J961" s="23"/>
    </row>
    <row r="962">
      <c r="H962" s="23"/>
      <c r="I962" s="23"/>
      <c r="J962" s="23"/>
    </row>
    <row r="963">
      <c r="H963" s="23"/>
      <c r="I963" s="23"/>
      <c r="J963" s="23"/>
    </row>
    <row r="964">
      <c r="H964" s="23"/>
      <c r="I964" s="23"/>
      <c r="J964" s="23"/>
    </row>
    <row r="965">
      <c r="H965" s="23"/>
      <c r="I965" s="23"/>
      <c r="J965" s="23"/>
    </row>
    <row r="966">
      <c r="H966" s="23"/>
      <c r="I966" s="23"/>
      <c r="J966" s="23"/>
    </row>
    <row r="967">
      <c r="H967" s="23"/>
      <c r="I967" s="23"/>
      <c r="J967" s="23"/>
    </row>
    <row r="968">
      <c r="H968" s="23"/>
      <c r="I968" s="23"/>
      <c r="J968" s="23"/>
    </row>
    <row r="969">
      <c r="H969" s="23"/>
      <c r="I969" s="23"/>
      <c r="J969" s="23"/>
    </row>
    <row r="970">
      <c r="H970" s="23"/>
      <c r="I970" s="23"/>
      <c r="J970" s="23"/>
    </row>
    <row r="971">
      <c r="H971" s="23"/>
      <c r="I971" s="23"/>
      <c r="J971" s="23"/>
    </row>
    <row r="972">
      <c r="H972" s="23"/>
      <c r="I972" s="23"/>
      <c r="J972" s="23"/>
    </row>
    <row r="973">
      <c r="H973" s="23"/>
      <c r="I973" s="23"/>
      <c r="J973" s="23"/>
    </row>
    <row r="974">
      <c r="H974" s="23"/>
      <c r="I974" s="23"/>
      <c r="J974" s="23"/>
    </row>
  </sheetData>
  <autoFilter ref="$A$1:$J$1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0</v>
      </c>
      <c r="G1" s="9"/>
    </row>
    <row r="2">
      <c r="A2" s="10" t="s">
        <v>12</v>
      </c>
      <c r="B2" s="11">
        <v>4.0</v>
      </c>
      <c r="C2" s="11">
        <v>60.0</v>
      </c>
      <c r="D2" s="12">
        <v>6.0</v>
      </c>
      <c r="E2" s="13" t="s">
        <v>13</v>
      </c>
      <c r="F2" s="14" t="s">
        <v>14</v>
      </c>
      <c r="G2" s="9"/>
    </row>
    <row r="3">
      <c r="A3" s="10" t="s">
        <v>15</v>
      </c>
      <c r="B3" s="11">
        <v>4.0</v>
      </c>
      <c r="C3" s="11">
        <v>60.0</v>
      </c>
      <c r="D3" s="12">
        <v>0.0</v>
      </c>
      <c r="E3" s="15" t="s">
        <v>16</v>
      </c>
      <c r="F3" s="14" t="s">
        <v>17</v>
      </c>
      <c r="G3" s="9"/>
    </row>
    <row r="4">
      <c r="A4" s="16" t="s">
        <v>18</v>
      </c>
      <c r="B4" s="11">
        <v>2.0</v>
      </c>
      <c r="C4" s="11">
        <v>30.0</v>
      </c>
      <c r="D4" s="12">
        <v>0.0</v>
      </c>
      <c r="E4" s="17" t="s">
        <v>19</v>
      </c>
      <c r="F4" s="9" t="str">
        <f t="shared" ref="F4:F5" si="1">MID(A4,FIND("(",A4)+1,8)</f>
        <v>DIL01191</v>
      </c>
      <c r="G4" s="9"/>
    </row>
    <row r="5">
      <c r="A5" s="16" t="s">
        <v>20</v>
      </c>
      <c r="B5" s="12">
        <v>4.0</v>
      </c>
      <c r="C5" s="12">
        <v>60.0</v>
      </c>
      <c r="D5" s="12">
        <v>0.0</v>
      </c>
      <c r="E5" s="15" t="s">
        <v>16</v>
      </c>
      <c r="F5" s="9" t="str">
        <f t="shared" si="1"/>
        <v>DIL01193</v>
      </c>
      <c r="G5" s="9"/>
    </row>
    <row r="6">
      <c r="A6" s="10" t="s">
        <v>21</v>
      </c>
      <c r="B6" s="11">
        <v>4.0</v>
      </c>
      <c r="C6" s="11">
        <v>60.0</v>
      </c>
      <c r="D6" s="12">
        <v>0.0</v>
      </c>
      <c r="E6" s="15" t="s">
        <v>16</v>
      </c>
      <c r="F6" s="14" t="s">
        <v>23</v>
      </c>
      <c r="G6" s="9"/>
    </row>
    <row r="7">
      <c r="A7" s="16" t="s">
        <v>24</v>
      </c>
      <c r="B7" s="12">
        <v>4.0</v>
      </c>
      <c r="C7" s="12">
        <v>60.0</v>
      </c>
      <c r="D7" s="12">
        <v>0.0</v>
      </c>
      <c r="E7" s="19" t="s">
        <v>25</v>
      </c>
      <c r="F7" s="9" t="str">
        <f t="shared" ref="F7:F231" si="2">MID(A7,FIND("(",A7)+1,8)</f>
        <v>DIL01101</v>
      </c>
      <c r="G7" s="9"/>
    </row>
    <row r="8">
      <c r="A8" s="16" t="s">
        <v>26</v>
      </c>
      <c r="B8" s="12">
        <v>2.0</v>
      </c>
      <c r="C8" s="12">
        <v>30.0</v>
      </c>
      <c r="D8" s="12">
        <v>0.0</v>
      </c>
      <c r="E8" s="15" t="s">
        <v>16</v>
      </c>
      <c r="F8" s="9" t="str">
        <f t="shared" si="2"/>
        <v>DIL01194</v>
      </c>
      <c r="G8" s="9"/>
    </row>
    <row r="9">
      <c r="A9" s="9" t="s">
        <v>27</v>
      </c>
      <c r="B9" s="12">
        <v>4.0</v>
      </c>
      <c r="C9" s="12">
        <v>60.0</v>
      </c>
      <c r="D9" s="12">
        <v>0.0</v>
      </c>
      <c r="E9" s="15" t="s">
        <v>16</v>
      </c>
      <c r="F9" s="9" t="str">
        <f t="shared" si="2"/>
        <v>DIL01158</v>
      </c>
      <c r="G9" s="9"/>
    </row>
    <row r="10">
      <c r="A10" s="9" t="s">
        <v>28</v>
      </c>
      <c r="B10" s="12">
        <v>4.0</v>
      </c>
      <c r="C10" s="12">
        <v>60.0</v>
      </c>
      <c r="D10" s="12">
        <v>0.0</v>
      </c>
      <c r="E10" s="19" t="s">
        <v>25</v>
      </c>
      <c r="F10" s="9" t="str">
        <f t="shared" si="2"/>
        <v>DIL01113</v>
      </c>
      <c r="G10" s="9"/>
    </row>
    <row r="11">
      <c r="A11" s="9" t="s">
        <v>29</v>
      </c>
      <c r="B11" s="11">
        <v>4.0</v>
      </c>
      <c r="C11" s="11">
        <v>60.0</v>
      </c>
      <c r="D11" s="12">
        <v>0.0</v>
      </c>
      <c r="E11" s="19" t="s">
        <v>25</v>
      </c>
      <c r="F11" s="9" t="str">
        <f t="shared" si="2"/>
        <v>DIL01112</v>
      </c>
      <c r="G11" s="9"/>
    </row>
    <row r="12">
      <c r="A12" s="9" t="s">
        <v>30</v>
      </c>
      <c r="B12" s="12">
        <v>4.0</v>
      </c>
      <c r="C12" s="12">
        <v>60.0</v>
      </c>
      <c r="D12" s="12">
        <v>0.0</v>
      </c>
      <c r="E12" s="19" t="s">
        <v>25</v>
      </c>
      <c r="F12" s="9" t="str">
        <f t="shared" si="2"/>
        <v>DIL01114</v>
      </c>
      <c r="G12" s="9"/>
    </row>
    <row r="13">
      <c r="A13" s="9" t="s">
        <v>32</v>
      </c>
      <c r="B13" s="12">
        <v>2.0</v>
      </c>
      <c r="C13" s="12">
        <v>30.0</v>
      </c>
      <c r="D13" s="12">
        <v>0.0</v>
      </c>
      <c r="E13" s="15" t="s">
        <v>16</v>
      </c>
      <c r="F13" s="9" t="str">
        <f t="shared" si="2"/>
        <v>DIL01312</v>
      </c>
      <c r="G13" s="9"/>
    </row>
    <row r="14">
      <c r="A14" s="9" t="s">
        <v>35</v>
      </c>
      <c r="B14" s="12">
        <v>4.0</v>
      </c>
      <c r="C14" s="12">
        <v>60.0</v>
      </c>
      <c r="D14" s="12">
        <v>0.0</v>
      </c>
      <c r="E14" s="19" t="s">
        <v>25</v>
      </c>
      <c r="F14" s="9" t="str">
        <f t="shared" si="2"/>
        <v>DIL01117</v>
      </c>
      <c r="G14" s="9"/>
    </row>
    <row r="15">
      <c r="A15" s="9" t="s">
        <v>37</v>
      </c>
      <c r="B15" s="12">
        <v>2.0</v>
      </c>
      <c r="C15" s="12">
        <v>30.0</v>
      </c>
      <c r="D15" s="12">
        <v>0.0</v>
      </c>
      <c r="E15" s="17" t="s">
        <v>19</v>
      </c>
      <c r="F15" s="9" t="str">
        <f t="shared" si="2"/>
        <v>DIL01104</v>
      </c>
      <c r="G15" s="9"/>
    </row>
    <row r="16">
      <c r="A16" s="9" t="s">
        <v>38</v>
      </c>
      <c r="B16" s="12">
        <v>3.0</v>
      </c>
      <c r="C16" s="12">
        <v>45.0</v>
      </c>
      <c r="D16" s="12">
        <v>0.0</v>
      </c>
      <c r="E16" s="19" t="s">
        <v>25</v>
      </c>
      <c r="F16" s="9" t="str">
        <f t="shared" si="2"/>
        <v>DIL01356</v>
      </c>
      <c r="G16" s="9"/>
    </row>
    <row r="17">
      <c r="A17" s="9" t="s">
        <v>40</v>
      </c>
      <c r="B17" s="12">
        <v>6.0</v>
      </c>
      <c r="C17" s="12">
        <v>90.0</v>
      </c>
      <c r="D17" s="12">
        <v>0.0</v>
      </c>
      <c r="E17" s="19" t="s">
        <v>25</v>
      </c>
      <c r="F17" s="9" t="str">
        <f t="shared" si="2"/>
        <v>DIL01355</v>
      </c>
      <c r="G17" s="9"/>
    </row>
    <row r="18">
      <c r="A18" s="9" t="s">
        <v>41</v>
      </c>
      <c r="B18" s="12">
        <v>4.0</v>
      </c>
      <c r="C18" s="12">
        <v>60.0</v>
      </c>
      <c r="D18" s="12">
        <v>0.0</v>
      </c>
      <c r="E18" s="13" t="s">
        <v>13</v>
      </c>
      <c r="F18" s="9" t="str">
        <f t="shared" si="2"/>
        <v>DIL01354</v>
      </c>
      <c r="G18" s="9"/>
    </row>
    <row r="19">
      <c r="A19" s="9" t="s">
        <v>42</v>
      </c>
      <c r="B19" s="11">
        <v>4.0</v>
      </c>
      <c r="C19" s="11">
        <v>60.0</v>
      </c>
      <c r="D19" s="12">
        <v>0.0</v>
      </c>
      <c r="E19" s="19" t="s">
        <v>25</v>
      </c>
      <c r="F19" s="9" t="str">
        <f t="shared" si="2"/>
        <v>DIL01111</v>
      </c>
      <c r="G19" s="9"/>
    </row>
    <row r="20">
      <c r="A20" s="9" t="s">
        <v>43</v>
      </c>
      <c r="B20" s="12">
        <v>2.0</v>
      </c>
      <c r="C20" s="12">
        <v>30.0</v>
      </c>
      <c r="D20" s="12">
        <v>0.0</v>
      </c>
      <c r="E20" s="13" t="s">
        <v>13</v>
      </c>
      <c r="F20" s="9" t="str">
        <f t="shared" si="2"/>
        <v>DIL01192</v>
      </c>
      <c r="G20" s="9"/>
    </row>
    <row r="21">
      <c r="A21" s="9" t="s">
        <v>44</v>
      </c>
      <c r="B21" s="12">
        <v>4.0</v>
      </c>
      <c r="C21" s="12">
        <v>60.0</v>
      </c>
      <c r="D21" s="12">
        <v>6.0</v>
      </c>
      <c r="E21" s="13" t="s">
        <v>13</v>
      </c>
      <c r="F21" s="9" t="str">
        <f t="shared" si="2"/>
        <v>DIL01118</v>
      </c>
      <c r="G21" s="9"/>
    </row>
    <row r="22">
      <c r="A22" s="9" t="s">
        <v>45</v>
      </c>
      <c r="B22" s="12">
        <v>2.0</v>
      </c>
      <c r="C22" s="12">
        <v>30.0</v>
      </c>
      <c r="D22" s="12">
        <v>0.0</v>
      </c>
      <c r="E22" s="13" t="s">
        <v>13</v>
      </c>
      <c r="F22" s="9" t="str">
        <f t="shared" si="2"/>
        <v>DIL01067</v>
      </c>
      <c r="G22" s="9"/>
    </row>
    <row r="23">
      <c r="A23" s="9" t="s">
        <v>46</v>
      </c>
      <c r="B23" s="12">
        <v>2.0</v>
      </c>
      <c r="C23" s="12">
        <v>30.0</v>
      </c>
      <c r="D23" s="12">
        <v>0.0</v>
      </c>
      <c r="E23" s="19" t="s">
        <v>25</v>
      </c>
      <c r="F23" s="9" t="str">
        <f t="shared" si="2"/>
        <v>DIL01115</v>
      </c>
      <c r="G23" s="9"/>
    </row>
    <row r="24">
      <c r="A24" s="9" t="s">
        <v>47</v>
      </c>
      <c r="B24" s="12">
        <v>4.0</v>
      </c>
      <c r="C24" s="12">
        <v>60.0</v>
      </c>
      <c r="D24" s="12">
        <v>15.0</v>
      </c>
      <c r="E24" s="17" t="s">
        <v>19</v>
      </c>
      <c r="F24" s="9" t="str">
        <f t="shared" si="2"/>
        <v>DIL01119</v>
      </c>
      <c r="G24" s="9"/>
    </row>
    <row r="25">
      <c r="A25" s="9" t="s">
        <v>48</v>
      </c>
      <c r="B25" s="12">
        <v>4.0</v>
      </c>
      <c r="C25" s="12">
        <v>60.0</v>
      </c>
      <c r="D25" s="12">
        <v>6.0</v>
      </c>
      <c r="E25" s="13" t="s">
        <v>13</v>
      </c>
      <c r="F25" s="9" t="str">
        <f t="shared" si="2"/>
        <v>DIL01120</v>
      </c>
      <c r="G25" s="9"/>
    </row>
    <row r="26">
      <c r="A26" s="9" t="s">
        <v>49</v>
      </c>
      <c r="B26" s="12">
        <v>4.0</v>
      </c>
      <c r="C26" s="12">
        <v>60.0</v>
      </c>
      <c r="D26" s="12">
        <v>6.0</v>
      </c>
      <c r="E26" s="13" t="s">
        <v>13</v>
      </c>
      <c r="F26" s="9" t="str">
        <f t="shared" si="2"/>
        <v>DIL01121</v>
      </c>
      <c r="G26" s="9"/>
    </row>
    <row r="27">
      <c r="A27" s="9" t="s">
        <v>50</v>
      </c>
      <c r="B27" s="12">
        <v>4.0</v>
      </c>
      <c r="C27" s="12">
        <v>60.0</v>
      </c>
      <c r="D27" s="12">
        <v>0.0</v>
      </c>
      <c r="E27" s="19" t="s">
        <v>25</v>
      </c>
      <c r="F27" s="9" t="str">
        <f t="shared" si="2"/>
        <v>DIL01122</v>
      </c>
      <c r="G27" s="9"/>
    </row>
    <row r="28">
      <c r="A28" s="9" t="s">
        <v>51</v>
      </c>
      <c r="B28" s="12">
        <v>4.0</v>
      </c>
      <c r="C28" s="12">
        <v>60.0</v>
      </c>
      <c r="D28" s="12">
        <v>15.0</v>
      </c>
      <c r="E28" s="17" t="s">
        <v>19</v>
      </c>
      <c r="F28" s="9" t="str">
        <f t="shared" si="2"/>
        <v>DIL01357</v>
      </c>
      <c r="G28" s="9"/>
    </row>
    <row r="29">
      <c r="A29" s="9" t="s">
        <v>52</v>
      </c>
      <c r="B29" s="12">
        <v>4.0</v>
      </c>
      <c r="C29" s="12">
        <v>60.0</v>
      </c>
      <c r="D29" s="12">
        <v>6.0</v>
      </c>
      <c r="E29" s="13" t="s">
        <v>13</v>
      </c>
      <c r="F29" s="9" t="str">
        <f t="shared" si="2"/>
        <v>DIL01134</v>
      </c>
      <c r="G29" s="9"/>
    </row>
    <row r="30">
      <c r="A30" s="9" t="s">
        <v>53</v>
      </c>
      <c r="B30" s="12">
        <v>4.0</v>
      </c>
      <c r="C30" s="12">
        <v>60.0</v>
      </c>
      <c r="D30" s="12">
        <v>6.0</v>
      </c>
      <c r="E30" s="13" t="s">
        <v>13</v>
      </c>
      <c r="F30" s="9" t="str">
        <f t="shared" si="2"/>
        <v>DIL01130</v>
      </c>
      <c r="G30" s="9"/>
    </row>
    <row r="31">
      <c r="A31" s="9" t="s">
        <v>54</v>
      </c>
      <c r="B31" s="12">
        <v>4.0</v>
      </c>
      <c r="C31" s="12">
        <v>60.0</v>
      </c>
      <c r="D31" s="12">
        <v>0.0</v>
      </c>
      <c r="E31" s="17" t="s">
        <v>19</v>
      </c>
      <c r="F31" s="9" t="str">
        <f t="shared" si="2"/>
        <v>DIL01127</v>
      </c>
      <c r="G31" s="9"/>
    </row>
    <row r="32">
      <c r="A32" s="9" t="s">
        <v>55</v>
      </c>
      <c r="B32" s="12">
        <v>4.0</v>
      </c>
      <c r="C32" s="12">
        <v>60.0</v>
      </c>
      <c r="D32" s="12">
        <v>0.0</v>
      </c>
      <c r="E32" s="19" t="s">
        <v>25</v>
      </c>
      <c r="F32" s="9" t="str">
        <f t="shared" si="2"/>
        <v>DIL01123</v>
      </c>
      <c r="G32" s="9"/>
    </row>
    <row r="33">
      <c r="A33" s="9" t="s">
        <v>56</v>
      </c>
      <c r="B33" s="12">
        <v>4.0</v>
      </c>
      <c r="C33" s="12">
        <v>60.0</v>
      </c>
      <c r="D33" s="12">
        <v>10.0</v>
      </c>
      <c r="E33" s="19" t="s">
        <v>25</v>
      </c>
      <c r="F33" s="9" t="str">
        <f t="shared" si="2"/>
        <v>DIL01141</v>
      </c>
      <c r="G33" s="9"/>
    </row>
    <row r="34">
      <c r="A34" s="9" t="s">
        <v>57</v>
      </c>
      <c r="B34" s="12">
        <v>4.0</v>
      </c>
      <c r="C34" s="12">
        <v>60.0</v>
      </c>
      <c r="D34" s="12">
        <v>0.0</v>
      </c>
      <c r="E34" s="19" t="s">
        <v>25</v>
      </c>
      <c r="F34" s="9" t="str">
        <f t="shared" si="2"/>
        <v>DIL01109</v>
      </c>
      <c r="G34" s="9"/>
    </row>
    <row r="35">
      <c r="A35" s="9" t="s">
        <v>58</v>
      </c>
      <c r="B35" s="12">
        <v>4.0</v>
      </c>
      <c r="C35" s="12">
        <v>60.0</v>
      </c>
      <c r="D35" s="12">
        <v>0.0</v>
      </c>
      <c r="E35" s="17" t="s">
        <v>19</v>
      </c>
      <c r="F35" s="9" t="str">
        <f t="shared" si="2"/>
        <v>DIL01089</v>
      </c>
      <c r="G35" s="9"/>
    </row>
    <row r="36">
      <c r="A36" s="9" t="s">
        <v>59</v>
      </c>
      <c r="B36" s="12">
        <v>4.0</v>
      </c>
      <c r="C36" s="12">
        <v>60.0</v>
      </c>
      <c r="D36" s="12">
        <v>15.0</v>
      </c>
      <c r="E36" s="13" t="s">
        <v>13</v>
      </c>
      <c r="F36" s="9" t="str">
        <f t="shared" si="2"/>
        <v>DIL01153</v>
      </c>
      <c r="G36" s="9"/>
    </row>
    <row r="37">
      <c r="A37" s="9" t="s">
        <v>60</v>
      </c>
      <c r="B37" s="12">
        <v>6.0</v>
      </c>
      <c r="C37" s="12">
        <v>90.0</v>
      </c>
      <c r="D37" s="12">
        <v>15.0</v>
      </c>
      <c r="E37" s="19" t="s">
        <v>25</v>
      </c>
      <c r="F37" s="9" t="str">
        <f t="shared" si="2"/>
        <v>DIL01133</v>
      </c>
      <c r="G37" s="9"/>
    </row>
    <row r="38">
      <c r="A38" s="26" t="s">
        <v>61</v>
      </c>
      <c r="B38" s="12">
        <v>2.0</v>
      </c>
      <c r="C38" s="12">
        <v>30.0</v>
      </c>
      <c r="D38" s="12">
        <v>0.0</v>
      </c>
      <c r="E38" s="13" t="s">
        <v>13</v>
      </c>
      <c r="F38" s="9" t="str">
        <f t="shared" si="2"/>
        <v>DIL01358</v>
      </c>
      <c r="G38" s="9"/>
    </row>
    <row r="39">
      <c r="A39" s="9" t="s">
        <v>62</v>
      </c>
      <c r="B39" s="12">
        <v>2.0</v>
      </c>
      <c r="C39" s="12">
        <v>30.0</v>
      </c>
      <c r="D39" s="12">
        <v>0.0</v>
      </c>
      <c r="E39" s="19" t="s">
        <v>25</v>
      </c>
      <c r="F39" s="9" t="str">
        <f t="shared" si="2"/>
        <v>DIL01124</v>
      </c>
      <c r="G39" s="9"/>
    </row>
    <row r="40">
      <c r="A40" s="9" t="s">
        <v>63</v>
      </c>
      <c r="B40" s="12">
        <v>2.0</v>
      </c>
      <c r="C40" s="12">
        <v>30.0</v>
      </c>
      <c r="D40" s="12">
        <v>0.0</v>
      </c>
      <c r="E40" s="19" t="s">
        <v>25</v>
      </c>
      <c r="F40" s="9" t="str">
        <f t="shared" si="2"/>
        <v>DIL01057</v>
      </c>
      <c r="G40" s="9"/>
    </row>
    <row r="41">
      <c r="A41" s="9" t="s">
        <v>64</v>
      </c>
      <c r="B41" s="12">
        <v>4.0</v>
      </c>
      <c r="C41" s="12">
        <v>60.0</v>
      </c>
      <c r="D41" s="12">
        <v>12.0</v>
      </c>
      <c r="E41" s="13" t="s">
        <v>13</v>
      </c>
      <c r="F41" s="9" t="str">
        <f t="shared" si="2"/>
        <v>DIL01129</v>
      </c>
      <c r="G41" s="9"/>
    </row>
    <row r="42">
      <c r="A42" s="26" t="s">
        <v>65</v>
      </c>
      <c r="B42" s="12">
        <v>2.0</v>
      </c>
      <c r="C42" s="12">
        <v>30.0</v>
      </c>
      <c r="D42" s="12">
        <v>30.0</v>
      </c>
      <c r="E42" s="17" t="s">
        <v>19</v>
      </c>
      <c r="F42" s="9" t="str">
        <f t="shared" si="2"/>
        <v>DIL01179</v>
      </c>
      <c r="G42" s="9"/>
    </row>
    <row r="43">
      <c r="A43" s="9" t="s">
        <v>69</v>
      </c>
      <c r="B43" s="12">
        <v>3.0</v>
      </c>
      <c r="C43" s="12">
        <v>45.0</v>
      </c>
      <c r="D43" s="12">
        <v>0.0</v>
      </c>
      <c r="E43" s="17" t="s">
        <v>19</v>
      </c>
      <c r="F43" s="9" t="str">
        <f t="shared" si="2"/>
        <v>DIL01178</v>
      </c>
      <c r="G43" s="9"/>
    </row>
    <row r="44">
      <c r="A44" s="9" t="s">
        <v>70</v>
      </c>
      <c r="B44" s="12">
        <v>3.0</v>
      </c>
      <c r="C44" s="12">
        <v>45.0</v>
      </c>
      <c r="D44" s="12">
        <v>0.0</v>
      </c>
      <c r="E44" s="17" t="s">
        <v>19</v>
      </c>
      <c r="F44" s="9" t="str">
        <f t="shared" si="2"/>
        <v>DIL01159</v>
      </c>
      <c r="G44" s="9"/>
    </row>
    <row r="45">
      <c r="A45" s="9" t="s">
        <v>71</v>
      </c>
      <c r="B45" s="12">
        <v>4.0</v>
      </c>
      <c r="C45" s="12">
        <v>60.0</v>
      </c>
      <c r="D45" s="12">
        <v>0.0</v>
      </c>
      <c r="E45" s="17" t="s">
        <v>19</v>
      </c>
      <c r="F45" s="9" t="str">
        <f t="shared" si="2"/>
        <v>DIL01138</v>
      </c>
      <c r="G45" s="9"/>
    </row>
    <row r="46">
      <c r="A46" s="9" t="s">
        <v>74</v>
      </c>
      <c r="B46" s="12">
        <v>4.0</v>
      </c>
      <c r="C46" s="12">
        <v>60.0</v>
      </c>
      <c r="D46" s="12">
        <v>9.0</v>
      </c>
      <c r="E46" s="13" t="s">
        <v>13</v>
      </c>
      <c r="F46" s="9" t="str">
        <f t="shared" si="2"/>
        <v>DIL01144</v>
      </c>
      <c r="G46" s="9"/>
    </row>
    <row r="47">
      <c r="A47" s="9" t="s">
        <v>75</v>
      </c>
      <c r="B47" s="12">
        <v>4.0</v>
      </c>
      <c r="C47" s="12">
        <v>60.0</v>
      </c>
      <c r="D47" s="12">
        <v>6.0</v>
      </c>
      <c r="E47" s="13" t="s">
        <v>13</v>
      </c>
      <c r="F47" s="9" t="str">
        <f t="shared" si="2"/>
        <v>DIL01145</v>
      </c>
      <c r="G47" s="9"/>
    </row>
    <row r="48">
      <c r="A48" s="9" t="s">
        <v>76</v>
      </c>
      <c r="B48" s="11">
        <v>4.0</v>
      </c>
      <c r="C48" s="11">
        <v>60.0</v>
      </c>
      <c r="D48" s="12">
        <v>0.0</v>
      </c>
      <c r="E48" s="19" t="s">
        <v>25</v>
      </c>
      <c r="F48" s="9" t="str">
        <f t="shared" si="2"/>
        <v>DIL01135</v>
      </c>
      <c r="G48" s="9"/>
    </row>
    <row r="49">
      <c r="A49" s="9" t="s">
        <v>79</v>
      </c>
      <c r="B49" s="12">
        <v>4.0</v>
      </c>
      <c r="C49" s="12">
        <v>60.0</v>
      </c>
      <c r="D49" s="12">
        <v>0.0</v>
      </c>
      <c r="E49" s="13" t="s">
        <v>13</v>
      </c>
      <c r="F49" s="9" t="str">
        <f t="shared" si="2"/>
        <v>DIL01195</v>
      </c>
      <c r="G49" s="9"/>
    </row>
    <row r="50">
      <c r="A50" s="9" t="s">
        <v>80</v>
      </c>
      <c r="B50" s="12">
        <v>4.0</v>
      </c>
      <c r="C50" s="12">
        <v>60.0</v>
      </c>
      <c r="D50" s="12">
        <v>0.0</v>
      </c>
      <c r="E50" s="17" t="s">
        <v>19</v>
      </c>
      <c r="F50" s="9" t="str">
        <f t="shared" si="2"/>
        <v>DIL01359</v>
      </c>
      <c r="G50" s="9"/>
    </row>
    <row r="51">
      <c r="A51" s="9" t="s">
        <v>81</v>
      </c>
      <c r="B51" s="12">
        <v>4.0</v>
      </c>
      <c r="C51" s="12">
        <v>60.0</v>
      </c>
      <c r="D51" s="12">
        <v>0.0</v>
      </c>
      <c r="E51" s="19" t="s">
        <v>25</v>
      </c>
      <c r="F51" s="9" t="str">
        <f t="shared" si="2"/>
        <v>DIL01125</v>
      </c>
      <c r="G51" s="9"/>
    </row>
    <row r="52">
      <c r="A52" s="9" t="s">
        <v>84</v>
      </c>
      <c r="B52" s="12">
        <v>6.0</v>
      </c>
      <c r="C52" s="12">
        <v>90.0</v>
      </c>
      <c r="D52" s="12">
        <v>0.0</v>
      </c>
      <c r="E52" s="19" t="s">
        <v>25</v>
      </c>
      <c r="F52" s="9" t="str">
        <f t="shared" si="2"/>
        <v>DIL01066</v>
      </c>
      <c r="G52" s="9"/>
    </row>
    <row r="53">
      <c r="A53" s="9" t="s">
        <v>87</v>
      </c>
      <c r="B53" s="12">
        <v>6.0</v>
      </c>
      <c r="C53" s="12">
        <v>90.0</v>
      </c>
      <c r="D53" s="12">
        <v>15.0</v>
      </c>
      <c r="E53" s="19" t="s">
        <v>25</v>
      </c>
      <c r="F53" s="9" t="str">
        <f t="shared" si="2"/>
        <v>DIL01142</v>
      </c>
      <c r="G53" s="9"/>
    </row>
    <row r="54">
      <c r="A54" s="9" t="s">
        <v>88</v>
      </c>
      <c r="B54" s="12">
        <v>2.0</v>
      </c>
      <c r="C54" s="12">
        <v>30.0</v>
      </c>
      <c r="D54" s="12">
        <v>0.0</v>
      </c>
      <c r="E54" s="13" t="s">
        <v>13</v>
      </c>
      <c r="F54" s="9" t="str">
        <f t="shared" si="2"/>
        <v>DIL01360</v>
      </c>
      <c r="G54" s="9"/>
    </row>
    <row r="55">
      <c r="A55" s="9" t="s">
        <v>90</v>
      </c>
      <c r="B55" s="12">
        <v>4.0</v>
      </c>
      <c r="C55" s="12">
        <v>60.0</v>
      </c>
      <c r="D55" s="12">
        <v>0.0</v>
      </c>
      <c r="E55" s="17" t="s">
        <v>19</v>
      </c>
      <c r="F55" s="9" t="str">
        <f t="shared" si="2"/>
        <v>DIL01196</v>
      </c>
      <c r="G55" s="9"/>
    </row>
    <row r="56">
      <c r="A56" s="9" t="s">
        <v>91</v>
      </c>
      <c r="B56" s="12">
        <v>2.0</v>
      </c>
      <c r="C56" s="12">
        <v>30.0</v>
      </c>
      <c r="D56" s="12">
        <v>0.0</v>
      </c>
      <c r="E56" s="17" t="s">
        <v>19</v>
      </c>
      <c r="F56" s="9" t="str">
        <f t="shared" si="2"/>
        <v>DIL01139</v>
      </c>
      <c r="G56" s="9"/>
    </row>
    <row r="57">
      <c r="A57" s="9" t="s">
        <v>94</v>
      </c>
      <c r="B57" s="12">
        <v>2.0</v>
      </c>
      <c r="C57" s="12">
        <v>30.0</v>
      </c>
      <c r="D57" s="12">
        <v>0.0</v>
      </c>
      <c r="E57" s="13" t="s">
        <v>13</v>
      </c>
      <c r="F57" s="9" t="str">
        <f t="shared" si="2"/>
        <v>DIL01362</v>
      </c>
      <c r="G57" s="9"/>
    </row>
    <row r="58">
      <c r="A58" s="9" t="s">
        <v>95</v>
      </c>
      <c r="B58" s="12">
        <v>2.0</v>
      </c>
      <c r="C58" s="12">
        <v>30.0</v>
      </c>
      <c r="D58" s="12">
        <v>0.0</v>
      </c>
      <c r="E58" s="19" t="s">
        <v>25</v>
      </c>
      <c r="F58" s="9" t="str">
        <f t="shared" si="2"/>
        <v>DIL01126</v>
      </c>
      <c r="G58" s="9"/>
    </row>
    <row r="59">
      <c r="A59" s="9" t="s">
        <v>96</v>
      </c>
      <c r="B59" s="12">
        <v>4.0</v>
      </c>
      <c r="C59" s="12">
        <v>60.0</v>
      </c>
      <c r="D59" s="12">
        <v>15.0</v>
      </c>
      <c r="E59" s="15" t="s">
        <v>16</v>
      </c>
      <c r="F59" s="9" t="str">
        <f t="shared" si="2"/>
        <v>DIL01140</v>
      </c>
      <c r="G59" s="9"/>
    </row>
    <row r="60">
      <c r="A60" s="9" t="s">
        <v>100</v>
      </c>
      <c r="B60" s="12">
        <v>4.0</v>
      </c>
      <c r="C60" s="12">
        <v>60.0</v>
      </c>
      <c r="D60" s="12">
        <v>15.0</v>
      </c>
      <c r="E60" s="17" t="s">
        <v>19</v>
      </c>
      <c r="F60" s="9" t="str">
        <f t="shared" si="2"/>
        <v>DIL01180</v>
      </c>
      <c r="G60" s="9"/>
    </row>
    <row r="61">
      <c r="A61" s="9" t="s">
        <v>102</v>
      </c>
      <c r="B61" s="12">
        <v>6.0</v>
      </c>
      <c r="C61" s="12">
        <v>90.0</v>
      </c>
      <c r="D61" s="12">
        <v>0.0</v>
      </c>
      <c r="E61" s="17" t="s">
        <v>19</v>
      </c>
      <c r="F61" s="9" t="str">
        <f t="shared" si="2"/>
        <v>DIL01137</v>
      </c>
      <c r="G61" s="9"/>
    </row>
    <row r="62">
      <c r="A62" s="9" t="s">
        <v>105</v>
      </c>
      <c r="B62" s="12">
        <v>4.0</v>
      </c>
      <c r="C62" s="12">
        <v>60.0</v>
      </c>
      <c r="D62" s="12">
        <v>6.0</v>
      </c>
      <c r="E62" s="13" t="s">
        <v>13</v>
      </c>
      <c r="F62" s="9" t="str">
        <f t="shared" si="2"/>
        <v>DIL01146</v>
      </c>
      <c r="G62" s="9"/>
    </row>
    <row r="63">
      <c r="A63" s="9" t="s">
        <v>106</v>
      </c>
      <c r="B63" s="12">
        <v>4.0</v>
      </c>
      <c r="C63" s="12">
        <v>60.0</v>
      </c>
      <c r="D63" s="12">
        <v>0.0</v>
      </c>
      <c r="E63" s="17" t="s">
        <v>19</v>
      </c>
      <c r="F63" s="9" t="str">
        <f t="shared" si="2"/>
        <v>DIL01361</v>
      </c>
      <c r="G63" s="9"/>
    </row>
    <row r="64">
      <c r="A64" s="9" t="s">
        <v>107</v>
      </c>
      <c r="B64" s="12">
        <v>4.0</v>
      </c>
      <c r="C64" s="12">
        <v>60.0</v>
      </c>
      <c r="D64" s="12">
        <v>0.0</v>
      </c>
      <c r="E64" s="17" t="s">
        <v>19</v>
      </c>
      <c r="F64" s="9" t="str">
        <f t="shared" si="2"/>
        <v>DIL01363</v>
      </c>
      <c r="G64" s="9"/>
    </row>
    <row r="65">
      <c r="A65" s="9" t="s">
        <v>110</v>
      </c>
      <c r="B65" s="12">
        <v>6.0</v>
      </c>
      <c r="C65" s="12">
        <v>90.0</v>
      </c>
      <c r="D65" s="12">
        <v>15.0</v>
      </c>
      <c r="E65" s="15" t="s">
        <v>16</v>
      </c>
      <c r="F65" s="9" t="str">
        <f t="shared" si="2"/>
        <v>DIL01071</v>
      </c>
      <c r="G65" s="9"/>
    </row>
    <row r="66">
      <c r="A66" s="9" t="s">
        <v>111</v>
      </c>
      <c r="B66" s="12">
        <v>4.0</v>
      </c>
      <c r="C66" s="12">
        <v>60.0</v>
      </c>
      <c r="D66" s="12">
        <v>8.0</v>
      </c>
      <c r="E66" s="17" t="s">
        <v>19</v>
      </c>
      <c r="F66" s="9" t="str">
        <f t="shared" si="2"/>
        <v>DIL01147</v>
      </c>
      <c r="G66" s="9"/>
    </row>
    <row r="67">
      <c r="A67" s="9" t="s">
        <v>114</v>
      </c>
      <c r="B67" s="12">
        <v>4.0</v>
      </c>
      <c r="C67" s="12">
        <v>60.0</v>
      </c>
      <c r="D67" s="12">
        <v>6.0</v>
      </c>
      <c r="E67" s="17" t="s">
        <v>19</v>
      </c>
      <c r="F67" s="9" t="str">
        <f t="shared" si="2"/>
        <v>DIL01150</v>
      </c>
      <c r="G67" s="9"/>
    </row>
    <row r="68">
      <c r="A68" s="9" t="s">
        <v>115</v>
      </c>
      <c r="B68" s="12">
        <v>3.0</v>
      </c>
      <c r="C68" s="12">
        <v>45.0</v>
      </c>
      <c r="D68" s="12">
        <v>0.0</v>
      </c>
      <c r="E68" s="17" t="s">
        <v>19</v>
      </c>
      <c r="F68" s="9" t="str">
        <f t="shared" si="2"/>
        <v>DIL01184</v>
      </c>
      <c r="G68" s="9"/>
    </row>
    <row r="69">
      <c r="A69" s="9" t="s">
        <v>116</v>
      </c>
      <c r="B69" s="12">
        <v>4.0</v>
      </c>
      <c r="C69" s="12">
        <v>60.0</v>
      </c>
      <c r="D69" s="12">
        <v>6.0</v>
      </c>
      <c r="E69" s="15" t="s">
        <v>16</v>
      </c>
      <c r="F69" s="9" t="str">
        <f t="shared" si="2"/>
        <v>DIL01154</v>
      </c>
      <c r="G69" s="9"/>
    </row>
    <row r="70">
      <c r="A70" s="9" t="s">
        <v>119</v>
      </c>
      <c r="B70" s="12">
        <v>2.0</v>
      </c>
      <c r="C70" s="12">
        <v>30.0</v>
      </c>
      <c r="D70" s="12">
        <v>0.0</v>
      </c>
      <c r="E70" s="13" t="s">
        <v>13</v>
      </c>
      <c r="F70" s="9" t="str">
        <f t="shared" si="2"/>
        <v>DIL01068</v>
      </c>
      <c r="G70" s="9"/>
    </row>
    <row r="71">
      <c r="A71" s="9" t="s">
        <v>120</v>
      </c>
      <c r="B71" s="12">
        <v>4.0</v>
      </c>
      <c r="C71" s="12">
        <v>60.0</v>
      </c>
      <c r="D71" s="12">
        <v>6.0</v>
      </c>
      <c r="E71" s="13" t="s">
        <v>13</v>
      </c>
      <c r="F71" s="9" t="str">
        <f t="shared" si="2"/>
        <v>DIL01157</v>
      </c>
      <c r="G71" s="9"/>
    </row>
    <row r="72">
      <c r="A72" s="9" t="s">
        <v>125</v>
      </c>
      <c r="B72" s="12">
        <v>4.0</v>
      </c>
      <c r="C72" s="12">
        <v>60.0</v>
      </c>
      <c r="D72" s="12">
        <v>0.0</v>
      </c>
      <c r="E72" s="17" t="s">
        <v>19</v>
      </c>
      <c r="F72" s="9" t="str">
        <f t="shared" si="2"/>
        <v>DIL01188</v>
      </c>
      <c r="G72" s="9"/>
    </row>
    <row r="73">
      <c r="A73" s="9" t="s">
        <v>128</v>
      </c>
      <c r="B73" s="12">
        <v>4.0</v>
      </c>
      <c r="C73" s="12">
        <v>60.0</v>
      </c>
      <c r="D73" s="12">
        <v>0.0</v>
      </c>
      <c r="E73" s="19" t="s">
        <v>25</v>
      </c>
      <c r="F73" s="9" t="str">
        <f t="shared" si="2"/>
        <v>DIL01136</v>
      </c>
      <c r="G73" s="9"/>
    </row>
    <row r="74">
      <c r="A74" s="9" t="s">
        <v>129</v>
      </c>
      <c r="B74" s="12">
        <v>6.0</v>
      </c>
      <c r="C74" s="12">
        <v>90.0</v>
      </c>
      <c r="D74" s="12">
        <v>15.0</v>
      </c>
      <c r="E74" s="19" t="s">
        <v>25</v>
      </c>
      <c r="F74" s="9" t="str">
        <f t="shared" si="2"/>
        <v>DIL01070</v>
      </c>
      <c r="G74" s="9"/>
    </row>
    <row r="75">
      <c r="A75" s="9" t="s">
        <v>130</v>
      </c>
      <c r="B75" s="12">
        <v>4.0</v>
      </c>
      <c r="C75" s="12">
        <v>60.0</v>
      </c>
      <c r="D75" s="12">
        <v>0.0</v>
      </c>
      <c r="E75" s="17" t="s">
        <v>19</v>
      </c>
      <c r="F75" s="9" t="str">
        <f t="shared" si="2"/>
        <v>DIL01364</v>
      </c>
      <c r="G75" s="9"/>
    </row>
    <row r="76">
      <c r="A76" s="9" t="s">
        <v>133</v>
      </c>
      <c r="B76" s="12">
        <v>2.0</v>
      </c>
      <c r="C76" s="12">
        <v>30.0</v>
      </c>
      <c r="D76" s="12">
        <v>3.0</v>
      </c>
      <c r="E76" s="17" t="s">
        <v>19</v>
      </c>
      <c r="F76" s="9" t="str">
        <f t="shared" si="2"/>
        <v>DIL01151</v>
      </c>
      <c r="G76" s="9"/>
    </row>
    <row r="77">
      <c r="A77" s="9" t="s">
        <v>134</v>
      </c>
      <c r="B77" s="12">
        <v>4.0</v>
      </c>
      <c r="C77" s="12">
        <v>60.0</v>
      </c>
      <c r="D77" s="12">
        <v>0.0</v>
      </c>
      <c r="E77" s="13" t="s">
        <v>13</v>
      </c>
      <c r="F77" s="9" t="str">
        <f t="shared" si="2"/>
        <v>DIL01365</v>
      </c>
      <c r="G77" s="9"/>
    </row>
    <row r="78">
      <c r="A78" s="9" t="s">
        <v>136</v>
      </c>
      <c r="B78" s="12">
        <v>4.0</v>
      </c>
      <c r="C78" s="12">
        <v>60.0</v>
      </c>
      <c r="D78" s="12">
        <v>0.0</v>
      </c>
      <c r="E78" s="15" t="s">
        <v>16</v>
      </c>
      <c r="F78" s="9" t="str">
        <f t="shared" si="2"/>
        <v>DIL01011</v>
      </c>
      <c r="G78" s="9"/>
    </row>
    <row r="79">
      <c r="A79" s="9" t="s">
        <v>138</v>
      </c>
      <c r="B79" s="12">
        <v>4.0</v>
      </c>
      <c r="C79" s="12">
        <v>60.0</v>
      </c>
      <c r="D79" s="12">
        <v>0.0</v>
      </c>
      <c r="E79" s="17" t="s">
        <v>19</v>
      </c>
      <c r="F79" s="9" t="str">
        <f t="shared" si="2"/>
        <v>DIL01152</v>
      </c>
      <c r="G79" s="9"/>
    </row>
    <row r="80">
      <c r="A80" s="9" t="s">
        <v>139</v>
      </c>
      <c r="B80" s="12">
        <v>4.0</v>
      </c>
      <c r="C80" s="12">
        <v>60.0</v>
      </c>
      <c r="D80" s="12">
        <v>0.0</v>
      </c>
      <c r="E80" s="17" t="s">
        <v>19</v>
      </c>
      <c r="F80" s="9" t="str">
        <f t="shared" si="2"/>
        <v>DIL01182</v>
      </c>
      <c r="G80" s="9"/>
    </row>
    <row r="81">
      <c r="A81" s="9" t="s">
        <v>143</v>
      </c>
      <c r="B81" s="12">
        <v>4.0</v>
      </c>
      <c r="C81" s="12">
        <v>60.0</v>
      </c>
      <c r="D81" s="12">
        <v>60.0</v>
      </c>
      <c r="E81" s="17" t="s">
        <v>19</v>
      </c>
      <c r="F81" s="9" t="str">
        <f t="shared" si="2"/>
        <v>DIL01090</v>
      </c>
      <c r="G81" s="9"/>
    </row>
    <row r="82">
      <c r="A82" s="9" t="s">
        <v>145</v>
      </c>
      <c r="B82" s="12">
        <v>4.0</v>
      </c>
      <c r="C82" s="12">
        <v>60.0</v>
      </c>
      <c r="D82" s="12">
        <v>6.0</v>
      </c>
      <c r="E82" s="13" t="s">
        <v>13</v>
      </c>
      <c r="F82" s="9" t="str">
        <f t="shared" si="2"/>
        <v>DIL01156</v>
      </c>
      <c r="G82" s="9"/>
    </row>
    <row r="83">
      <c r="A83" s="9" t="s">
        <v>146</v>
      </c>
      <c r="B83" s="12">
        <v>4.0</v>
      </c>
      <c r="C83" s="12">
        <v>60.0</v>
      </c>
      <c r="D83" s="12">
        <v>0.0</v>
      </c>
      <c r="E83" s="17" t="s">
        <v>19</v>
      </c>
      <c r="F83" s="9" t="str">
        <f t="shared" si="2"/>
        <v>DIL01187</v>
      </c>
      <c r="G83" s="9"/>
    </row>
    <row r="84">
      <c r="A84" s="9" t="s">
        <v>151</v>
      </c>
      <c r="B84" s="12">
        <v>4.0</v>
      </c>
      <c r="C84" s="12">
        <v>60.0</v>
      </c>
      <c r="D84" s="12">
        <v>30.0</v>
      </c>
      <c r="E84" s="15" t="s">
        <v>16</v>
      </c>
      <c r="F84" s="9" t="str">
        <f t="shared" si="2"/>
        <v>DIL01059</v>
      </c>
      <c r="G84" s="9"/>
    </row>
    <row r="85">
      <c r="A85" s="9" t="s">
        <v>152</v>
      </c>
      <c r="B85" s="12">
        <v>4.0</v>
      </c>
      <c r="C85" s="12">
        <v>60.0</v>
      </c>
      <c r="D85" s="12">
        <v>6.0</v>
      </c>
      <c r="E85" s="13" t="s">
        <v>13</v>
      </c>
      <c r="F85" s="9" t="str">
        <f t="shared" si="2"/>
        <v>DIL01164</v>
      </c>
      <c r="G85" s="9"/>
    </row>
    <row r="86">
      <c r="A86" s="9" t="s">
        <v>153</v>
      </c>
      <c r="B86" s="12">
        <v>4.0</v>
      </c>
      <c r="C86" s="12">
        <v>60.0</v>
      </c>
      <c r="D86" s="12">
        <v>0.0</v>
      </c>
      <c r="E86" s="15" t="s">
        <v>16</v>
      </c>
      <c r="F86" s="9" t="str">
        <f t="shared" si="2"/>
        <v>DIL01163</v>
      </c>
      <c r="G86" s="9"/>
    </row>
    <row r="87">
      <c r="A87" s="9" t="s">
        <v>156</v>
      </c>
      <c r="B87" s="12">
        <v>4.0</v>
      </c>
      <c r="C87" s="12">
        <v>60.0</v>
      </c>
      <c r="D87" s="12">
        <v>0.0</v>
      </c>
      <c r="E87" s="17" t="s">
        <v>19</v>
      </c>
      <c r="F87" s="9" t="str">
        <f t="shared" si="2"/>
        <v>DIL01161</v>
      </c>
      <c r="G87" s="9"/>
    </row>
    <row r="88">
      <c r="A88" s="9" t="s">
        <v>157</v>
      </c>
      <c r="B88" s="12">
        <v>4.0</v>
      </c>
      <c r="C88" s="12">
        <v>60.0</v>
      </c>
      <c r="D88" s="12">
        <v>0.0</v>
      </c>
      <c r="E88" s="17" t="s">
        <v>19</v>
      </c>
      <c r="F88" s="9" t="str">
        <f t="shared" si="2"/>
        <v>DIL01231</v>
      </c>
      <c r="G88" s="9"/>
    </row>
    <row r="89">
      <c r="A89" s="9" t="s">
        <v>158</v>
      </c>
      <c r="B89" s="12">
        <v>4.0</v>
      </c>
      <c r="C89" s="12">
        <v>60.0</v>
      </c>
      <c r="D89" s="12">
        <v>0.0</v>
      </c>
      <c r="E89" s="17" t="s">
        <v>19</v>
      </c>
      <c r="F89" s="9" t="str">
        <f t="shared" si="2"/>
        <v>DIL01186</v>
      </c>
      <c r="G89" s="9"/>
    </row>
    <row r="90">
      <c r="A90" s="9" t="s">
        <v>161</v>
      </c>
      <c r="B90" s="12">
        <v>4.0</v>
      </c>
      <c r="C90" s="12">
        <v>60.0</v>
      </c>
      <c r="D90" s="12">
        <v>0.0</v>
      </c>
      <c r="E90" s="17" t="s">
        <v>19</v>
      </c>
      <c r="F90" s="9" t="str">
        <f t="shared" si="2"/>
        <v>DIL01190</v>
      </c>
      <c r="G90" s="9"/>
    </row>
    <row r="91">
      <c r="A91" s="9" t="s">
        <v>162</v>
      </c>
      <c r="B91" s="12">
        <v>4.0</v>
      </c>
      <c r="C91" s="12">
        <v>60.0</v>
      </c>
      <c r="D91" s="12">
        <v>0.0</v>
      </c>
      <c r="E91" s="17" t="s">
        <v>19</v>
      </c>
      <c r="F91" s="9" t="str">
        <f t="shared" si="2"/>
        <v>DIL01160</v>
      </c>
      <c r="G91" s="9"/>
    </row>
    <row r="92">
      <c r="A92" s="9" t="s">
        <v>163</v>
      </c>
      <c r="B92" s="12">
        <v>6.0</v>
      </c>
      <c r="C92" s="12">
        <v>90.0</v>
      </c>
      <c r="D92" s="12">
        <v>15.0</v>
      </c>
      <c r="E92" s="15" t="s">
        <v>16</v>
      </c>
      <c r="F92" s="9" t="str">
        <f t="shared" si="2"/>
        <v>DIL01143</v>
      </c>
      <c r="G92" s="9"/>
    </row>
    <row r="93">
      <c r="A93" s="9" t="s">
        <v>165</v>
      </c>
      <c r="B93" s="12">
        <v>6.0</v>
      </c>
      <c r="C93" s="12">
        <v>90.0</v>
      </c>
      <c r="D93" s="12">
        <v>15.0</v>
      </c>
      <c r="E93" s="13" t="s">
        <v>13</v>
      </c>
      <c r="F93" s="9" t="str">
        <f t="shared" si="2"/>
        <v>DIL01168</v>
      </c>
      <c r="G93" s="9"/>
    </row>
    <row r="94">
      <c r="A94" s="9" t="s">
        <v>168</v>
      </c>
      <c r="B94" s="12">
        <v>6.0</v>
      </c>
      <c r="C94" s="12">
        <v>90.0</v>
      </c>
      <c r="D94" s="12">
        <v>0.0</v>
      </c>
      <c r="E94" s="19" t="s">
        <v>25</v>
      </c>
      <c r="F94" s="9" t="str">
        <f t="shared" si="2"/>
        <v>DIL01069</v>
      </c>
      <c r="G94" s="9"/>
    </row>
    <row r="95">
      <c r="A95" s="9" t="s">
        <v>169</v>
      </c>
      <c r="B95" s="12">
        <v>4.0</v>
      </c>
      <c r="C95" s="12">
        <v>60.0</v>
      </c>
      <c r="D95" s="12">
        <v>12.0</v>
      </c>
      <c r="E95" s="15" t="s">
        <v>16</v>
      </c>
      <c r="F95" s="9" t="str">
        <f t="shared" si="2"/>
        <v>DIL01169</v>
      </c>
      <c r="G95" s="9"/>
    </row>
    <row r="96">
      <c r="A96" s="9" t="s">
        <v>172</v>
      </c>
      <c r="B96" s="12">
        <v>2.0</v>
      </c>
      <c r="C96" s="12">
        <v>30.0</v>
      </c>
      <c r="D96" s="12">
        <v>0.0</v>
      </c>
      <c r="E96" s="17" t="s">
        <v>19</v>
      </c>
      <c r="F96" s="9" t="str">
        <f t="shared" si="2"/>
        <v>DIL01162</v>
      </c>
      <c r="G96" s="9"/>
    </row>
    <row r="97">
      <c r="A97" s="9" t="s">
        <v>175</v>
      </c>
      <c r="B97" s="12">
        <v>2.0</v>
      </c>
      <c r="C97" s="12">
        <v>30.0</v>
      </c>
      <c r="D97" s="12">
        <v>0.0</v>
      </c>
      <c r="E97" s="13" t="s">
        <v>13</v>
      </c>
      <c r="F97" s="9" t="str">
        <f t="shared" si="2"/>
        <v>DIL01367</v>
      </c>
      <c r="G97" s="9"/>
    </row>
    <row r="98">
      <c r="A98" s="9" t="s">
        <v>176</v>
      </c>
      <c r="B98" s="12">
        <v>2.0</v>
      </c>
      <c r="C98" s="12">
        <v>30.0</v>
      </c>
      <c r="D98" s="12">
        <v>5.0</v>
      </c>
      <c r="E98" s="17" t="s">
        <v>19</v>
      </c>
      <c r="F98" s="9" t="str">
        <f t="shared" si="2"/>
        <v>DIL01058</v>
      </c>
      <c r="G98" s="9"/>
    </row>
    <row r="99">
      <c r="A99" s="9" t="s">
        <v>179</v>
      </c>
      <c r="B99" s="12">
        <v>4.0</v>
      </c>
      <c r="C99" s="12">
        <v>60.0</v>
      </c>
      <c r="D99" s="12">
        <v>0.0</v>
      </c>
      <c r="E99" s="17" t="s">
        <v>19</v>
      </c>
      <c r="F99" s="9" t="str">
        <f t="shared" si="2"/>
        <v>DIL01148</v>
      </c>
      <c r="G99" s="9"/>
    </row>
    <row r="100">
      <c r="A100" s="9" t="s">
        <v>182</v>
      </c>
      <c r="B100" s="12">
        <v>4.0</v>
      </c>
      <c r="C100" s="12">
        <v>60.0</v>
      </c>
      <c r="D100" s="12">
        <v>6.0</v>
      </c>
      <c r="E100" s="15" t="s">
        <v>16</v>
      </c>
      <c r="F100" s="9" t="str">
        <f t="shared" si="2"/>
        <v>DIL01165</v>
      </c>
      <c r="G100" s="9"/>
    </row>
    <row r="101">
      <c r="A101" s="9" t="s">
        <v>183</v>
      </c>
      <c r="B101" s="12">
        <v>4.0</v>
      </c>
      <c r="C101" s="12">
        <v>60.0</v>
      </c>
      <c r="D101" s="12">
        <v>0.0</v>
      </c>
      <c r="E101" s="17" t="s">
        <v>19</v>
      </c>
      <c r="F101" s="9" t="str">
        <f t="shared" si="2"/>
        <v>DIL01366</v>
      </c>
      <c r="G101" s="9"/>
    </row>
    <row r="102">
      <c r="A102" s="9" t="s">
        <v>184</v>
      </c>
      <c r="B102" s="12">
        <v>4.0</v>
      </c>
      <c r="C102" s="12">
        <v>60.0</v>
      </c>
      <c r="D102" s="12">
        <v>12.0</v>
      </c>
      <c r="E102" s="15" t="s">
        <v>16</v>
      </c>
      <c r="F102" s="9" t="str">
        <f t="shared" si="2"/>
        <v>DIL01155</v>
      </c>
      <c r="G102" s="9"/>
    </row>
    <row r="103">
      <c r="A103" s="9" t="s">
        <v>189</v>
      </c>
      <c r="B103" s="12">
        <v>4.0</v>
      </c>
      <c r="C103" s="12">
        <v>60.0</v>
      </c>
      <c r="D103" s="12">
        <v>0.0</v>
      </c>
      <c r="E103" s="9" t="s">
        <v>190</v>
      </c>
      <c r="F103" s="9" t="str">
        <f t="shared" si="2"/>
        <v>DIL01275</v>
      </c>
      <c r="G103" s="9"/>
    </row>
    <row r="104">
      <c r="A104" s="9" t="s">
        <v>191</v>
      </c>
      <c r="B104" s="12">
        <v>4.0</v>
      </c>
      <c r="C104" s="12">
        <v>60.0</v>
      </c>
      <c r="D104" s="12">
        <v>0.0</v>
      </c>
      <c r="E104" s="9" t="s">
        <v>190</v>
      </c>
      <c r="F104" s="9" t="str">
        <f t="shared" si="2"/>
        <v>DIL01264</v>
      </c>
      <c r="G104" s="9"/>
    </row>
    <row r="105">
      <c r="A105" s="9" t="s">
        <v>194</v>
      </c>
      <c r="B105" s="12">
        <v>4.0</v>
      </c>
      <c r="C105" s="12">
        <v>60.0</v>
      </c>
      <c r="D105" s="12">
        <v>0.0</v>
      </c>
      <c r="E105" s="9" t="s">
        <v>190</v>
      </c>
      <c r="F105" s="9" t="str">
        <f t="shared" si="2"/>
        <v>DIL01261</v>
      </c>
      <c r="G105" s="9"/>
    </row>
    <row r="106">
      <c r="A106" s="9" t="s">
        <v>196</v>
      </c>
      <c r="B106" s="12">
        <v>2.0</v>
      </c>
      <c r="C106" s="12">
        <v>30.0</v>
      </c>
      <c r="D106" s="12">
        <v>0.0</v>
      </c>
      <c r="E106" s="9" t="s">
        <v>190</v>
      </c>
      <c r="F106" s="9" t="str">
        <f t="shared" si="2"/>
        <v>DIL01262</v>
      </c>
      <c r="G106" s="9"/>
    </row>
    <row r="107">
      <c r="A107" s="9" t="s">
        <v>200</v>
      </c>
      <c r="B107" s="12">
        <v>4.0</v>
      </c>
      <c r="C107" s="12">
        <v>60.0</v>
      </c>
      <c r="D107" s="12">
        <v>0.0</v>
      </c>
      <c r="E107" s="9" t="s">
        <v>190</v>
      </c>
      <c r="F107" s="9" t="str">
        <f t="shared" si="2"/>
        <v>DIL01263</v>
      </c>
      <c r="G107" s="9"/>
    </row>
    <row r="108">
      <c r="A108" s="9" t="s">
        <v>201</v>
      </c>
      <c r="B108" s="12">
        <v>4.0</v>
      </c>
      <c r="C108" s="12">
        <v>60.0</v>
      </c>
      <c r="D108" s="12">
        <v>0.0</v>
      </c>
      <c r="E108" s="9" t="s">
        <v>190</v>
      </c>
      <c r="F108" s="9" t="str">
        <f t="shared" si="2"/>
        <v>DIL01258</v>
      </c>
      <c r="G108" s="9"/>
    </row>
    <row r="109">
      <c r="A109" s="9" t="s">
        <v>202</v>
      </c>
      <c r="B109" s="12">
        <v>4.0</v>
      </c>
      <c r="C109" s="12">
        <v>60.0</v>
      </c>
      <c r="D109" s="12">
        <v>0.0</v>
      </c>
      <c r="E109" s="9" t="s">
        <v>190</v>
      </c>
      <c r="F109" s="9" t="str">
        <f t="shared" si="2"/>
        <v>DIL01259</v>
      </c>
      <c r="G109" s="9"/>
    </row>
    <row r="110">
      <c r="A110" s="9" t="s">
        <v>205</v>
      </c>
      <c r="B110" s="12">
        <v>4.0</v>
      </c>
      <c r="C110" s="12">
        <v>60.0</v>
      </c>
      <c r="D110" s="12">
        <v>0.0</v>
      </c>
      <c r="E110" s="9" t="s">
        <v>190</v>
      </c>
      <c r="F110" s="9" t="str">
        <f t="shared" si="2"/>
        <v>DIL01266</v>
      </c>
      <c r="G110" s="9"/>
    </row>
    <row r="111">
      <c r="A111" s="9" t="s">
        <v>206</v>
      </c>
      <c r="B111" s="12">
        <v>4.0</v>
      </c>
      <c r="C111" s="12">
        <v>60.0</v>
      </c>
      <c r="D111" s="12">
        <v>0.0</v>
      </c>
      <c r="E111" s="9" t="s">
        <v>190</v>
      </c>
      <c r="F111" s="9" t="str">
        <f t="shared" si="2"/>
        <v>DIL01267</v>
      </c>
      <c r="G111" s="9"/>
    </row>
    <row r="112">
      <c r="A112" s="9" t="s">
        <v>207</v>
      </c>
      <c r="B112" s="12">
        <v>4.0</v>
      </c>
      <c r="C112" s="12">
        <v>60.0</v>
      </c>
      <c r="D112" s="12">
        <v>6.0</v>
      </c>
      <c r="E112" s="9" t="s">
        <v>190</v>
      </c>
      <c r="F112" s="9" t="str">
        <f t="shared" si="2"/>
        <v>DIL01269</v>
      </c>
      <c r="G112" s="9"/>
    </row>
    <row r="113">
      <c r="A113" s="9" t="s">
        <v>210</v>
      </c>
      <c r="B113" s="12">
        <v>4.0</v>
      </c>
      <c r="C113" s="12">
        <v>60.0</v>
      </c>
      <c r="D113" s="12">
        <v>0.0</v>
      </c>
      <c r="E113" s="9" t="s">
        <v>190</v>
      </c>
      <c r="F113" s="9" t="str">
        <f t="shared" si="2"/>
        <v>DIL01272</v>
      </c>
      <c r="G113" s="9"/>
    </row>
    <row r="114">
      <c r="A114" s="9" t="s">
        <v>213</v>
      </c>
      <c r="B114" s="12">
        <v>4.0</v>
      </c>
      <c r="C114" s="12">
        <v>60.0</v>
      </c>
      <c r="D114" s="12">
        <v>0.0</v>
      </c>
      <c r="E114" s="9" t="s">
        <v>190</v>
      </c>
      <c r="F114" s="9" t="str">
        <f t="shared" si="2"/>
        <v>DIL01265</v>
      </c>
      <c r="G114" s="9"/>
    </row>
    <row r="115">
      <c r="A115" s="9" t="s">
        <v>214</v>
      </c>
      <c r="B115" s="12">
        <v>4.0</v>
      </c>
      <c r="C115" s="12">
        <v>60.0</v>
      </c>
      <c r="D115" s="12">
        <v>0.0</v>
      </c>
      <c r="E115" s="9" t="s">
        <v>190</v>
      </c>
      <c r="F115" s="9" t="str">
        <f t="shared" si="2"/>
        <v>DIL01268</v>
      </c>
      <c r="G115" s="9"/>
    </row>
    <row r="116">
      <c r="A116" s="9" t="s">
        <v>217</v>
      </c>
      <c r="B116" s="12">
        <v>4.0</v>
      </c>
      <c r="C116" s="12">
        <v>60.0</v>
      </c>
      <c r="D116" s="12">
        <v>0.0</v>
      </c>
      <c r="E116" s="9" t="s">
        <v>190</v>
      </c>
      <c r="F116" s="9" t="str">
        <f t="shared" si="2"/>
        <v>DIL01062</v>
      </c>
      <c r="G116" s="9"/>
    </row>
    <row r="117">
      <c r="A117" s="9" t="s">
        <v>218</v>
      </c>
      <c r="B117" s="12">
        <v>4.0</v>
      </c>
      <c r="C117" s="12">
        <v>60.0</v>
      </c>
      <c r="D117" s="12">
        <v>0.0</v>
      </c>
      <c r="E117" s="9" t="s">
        <v>190</v>
      </c>
      <c r="F117" s="9" t="str">
        <f t="shared" si="2"/>
        <v>DIL01274</v>
      </c>
      <c r="G117" s="9"/>
    </row>
    <row r="118">
      <c r="A118" s="9" t="s">
        <v>219</v>
      </c>
      <c r="B118" s="12">
        <v>4.0</v>
      </c>
      <c r="C118" s="12">
        <v>60.0</v>
      </c>
      <c r="D118" s="12">
        <v>15.0</v>
      </c>
      <c r="E118" s="9" t="s">
        <v>190</v>
      </c>
      <c r="F118" s="9" t="str">
        <f t="shared" si="2"/>
        <v>DIL01270</v>
      </c>
      <c r="G118" s="9"/>
    </row>
    <row r="119">
      <c r="A119" s="9" t="s">
        <v>220</v>
      </c>
      <c r="B119" s="12">
        <v>4.0</v>
      </c>
      <c r="C119" s="12">
        <v>60.0</v>
      </c>
      <c r="D119" s="12">
        <v>8.0</v>
      </c>
      <c r="E119" s="9" t="s">
        <v>190</v>
      </c>
      <c r="F119" s="9" t="str">
        <f t="shared" si="2"/>
        <v>DIL01273</v>
      </c>
      <c r="G119" s="9"/>
    </row>
    <row r="120">
      <c r="A120" s="9" t="s">
        <v>224</v>
      </c>
      <c r="B120" s="12">
        <v>0.0</v>
      </c>
      <c r="C120" s="12">
        <v>160.0</v>
      </c>
      <c r="D120" s="12">
        <v>0.0</v>
      </c>
      <c r="E120" s="9" t="s">
        <v>190</v>
      </c>
      <c r="F120" s="9" t="str">
        <f t="shared" si="2"/>
        <v>DIL01271</v>
      </c>
      <c r="G120" s="9"/>
    </row>
    <row r="121">
      <c r="A121" s="9" t="s">
        <v>225</v>
      </c>
      <c r="B121" s="12">
        <v>2.0</v>
      </c>
      <c r="C121" s="12">
        <v>30.0</v>
      </c>
      <c r="D121" s="12">
        <v>0.0</v>
      </c>
      <c r="E121" s="9" t="s">
        <v>190</v>
      </c>
      <c r="F121" s="9" t="str">
        <f t="shared" si="2"/>
        <v>DIL01276</v>
      </c>
      <c r="G121" s="9"/>
    </row>
    <row r="122">
      <c r="A122" s="9" t="s">
        <v>228</v>
      </c>
      <c r="B122" s="12">
        <v>2.0</v>
      </c>
      <c r="C122" s="12">
        <v>30.0</v>
      </c>
      <c r="D122" s="12">
        <v>0.0</v>
      </c>
      <c r="E122" s="9" t="s">
        <v>190</v>
      </c>
      <c r="F122" s="9" t="str">
        <f t="shared" si="2"/>
        <v>DIL01277</v>
      </c>
      <c r="G122" s="9"/>
    </row>
    <row r="123">
      <c r="A123" s="9" t="s">
        <v>229</v>
      </c>
      <c r="B123" s="12">
        <v>4.0</v>
      </c>
      <c r="C123" s="12">
        <v>60.0</v>
      </c>
      <c r="D123" s="12">
        <v>0.0</v>
      </c>
      <c r="E123" s="9" t="s">
        <v>190</v>
      </c>
      <c r="F123" s="9" t="str">
        <f t="shared" si="2"/>
        <v>DIL01065</v>
      </c>
      <c r="G123" s="9"/>
    </row>
    <row r="124">
      <c r="A124" s="9" t="s">
        <v>231</v>
      </c>
      <c r="B124" s="12">
        <v>4.0</v>
      </c>
      <c r="C124" s="12">
        <v>60.0</v>
      </c>
      <c r="D124" s="12">
        <v>0.0</v>
      </c>
      <c r="E124" s="9" t="s">
        <v>190</v>
      </c>
      <c r="F124" s="9" t="str">
        <f t="shared" si="2"/>
        <v>DIL01280</v>
      </c>
      <c r="G124" s="9"/>
    </row>
    <row r="125">
      <c r="A125" s="9" t="s">
        <v>234</v>
      </c>
      <c r="B125" s="12">
        <v>0.0</v>
      </c>
      <c r="C125" s="12">
        <v>30.0</v>
      </c>
      <c r="D125" s="12">
        <v>0.0</v>
      </c>
      <c r="E125" s="9" t="s">
        <v>190</v>
      </c>
      <c r="F125" s="9" t="str">
        <f t="shared" si="2"/>
        <v>TRABALHO</v>
      </c>
      <c r="G125" s="9"/>
    </row>
    <row r="126">
      <c r="A126" s="9" t="s">
        <v>235</v>
      </c>
      <c r="B126" s="12">
        <v>4.0</v>
      </c>
      <c r="C126" s="12">
        <v>60.0</v>
      </c>
      <c r="D126" s="12">
        <v>15.0</v>
      </c>
      <c r="E126" s="9" t="s">
        <v>190</v>
      </c>
      <c r="F126" s="9" t="str">
        <f t="shared" si="2"/>
        <v>DIL01282</v>
      </c>
      <c r="G126" s="9"/>
    </row>
    <row r="127">
      <c r="A127" s="9" t="s">
        <v>238</v>
      </c>
      <c r="B127" s="12">
        <v>4.0</v>
      </c>
      <c r="C127" s="12">
        <v>60.0</v>
      </c>
      <c r="D127" s="12">
        <v>0.0</v>
      </c>
      <c r="E127" s="9" t="s">
        <v>190</v>
      </c>
      <c r="F127" s="9" t="str">
        <f t="shared" si="2"/>
        <v>DIL01281</v>
      </c>
      <c r="G127" s="9"/>
    </row>
    <row r="128">
      <c r="A128" s="9" t="s">
        <v>239</v>
      </c>
      <c r="B128" s="12">
        <v>2.0</v>
      </c>
      <c r="C128" s="12">
        <v>30.0</v>
      </c>
      <c r="D128" s="12">
        <v>15.0</v>
      </c>
      <c r="E128" s="9" t="s">
        <v>190</v>
      </c>
      <c r="F128" s="9" t="str">
        <f t="shared" si="2"/>
        <v>DIL01283</v>
      </c>
      <c r="G128" s="9"/>
    </row>
    <row r="129">
      <c r="A129" s="9" t="s">
        <v>240</v>
      </c>
      <c r="B129" s="12">
        <v>2.0</v>
      </c>
      <c r="C129" s="12">
        <v>30.0</v>
      </c>
      <c r="D129" s="12">
        <v>0.0</v>
      </c>
      <c r="E129" s="9" t="s">
        <v>190</v>
      </c>
      <c r="F129" s="9" t="str">
        <f t="shared" si="2"/>
        <v>DIL01285</v>
      </c>
      <c r="G129" s="9"/>
    </row>
    <row r="130">
      <c r="A130" s="9" t="s">
        <v>242</v>
      </c>
      <c r="B130" s="12">
        <v>4.0</v>
      </c>
      <c r="C130" s="12">
        <v>60.0</v>
      </c>
      <c r="D130" s="12">
        <v>18.0</v>
      </c>
      <c r="E130" s="9" t="s">
        <v>190</v>
      </c>
      <c r="F130" s="9" t="str">
        <f t="shared" si="2"/>
        <v>DIL01064</v>
      </c>
      <c r="G130" s="9"/>
    </row>
    <row r="131">
      <c r="A131" s="9" t="s">
        <v>244</v>
      </c>
      <c r="B131" s="12">
        <v>4.0</v>
      </c>
      <c r="C131" s="12">
        <v>60.0</v>
      </c>
      <c r="D131" s="12">
        <v>0.0</v>
      </c>
      <c r="E131" s="9" t="s">
        <v>190</v>
      </c>
      <c r="F131" s="9" t="str">
        <f t="shared" si="2"/>
        <v>DIL01284</v>
      </c>
      <c r="G131" s="9"/>
    </row>
    <row r="132">
      <c r="A132" s="9" t="s">
        <v>245</v>
      </c>
      <c r="B132" s="12">
        <v>4.0</v>
      </c>
      <c r="C132" s="12">
        <v>60.0</v>
      </c>
      <c r="D132" s="12">
        <v>0.0</v>
      </c>
      <c r="E132" s="9" t="s">
        <v>190</v>
      </c>
      <c r="F132" s="9" t="str">
        <f t="shared" si="2"/>
        <v>DIL01063</v>
      </c>
      <c r="G132" s="9"/>
    </row>
    <row r="133">
      <c r="A133" s="9" t="s">
        <v>248</v>
      </c>
      <c r="B133" s="12">
        <v>4.0</v>
      </c>
      <c r="C133" s="12">
        <v>60.0</v>
      </c>
      <c r="D133" s="12">
        <v>0.0</v>
      </c>
      <c r="E133" s="9" t="s">
        <v>190</v>
      </c>
      <c r="F133" s="9" t="str">
        <f t="shared" si="2"/>
        <v>DIL01286</v>
      </c>
      <c r="G133" s="9"/>
    </row>
    <row r="134">
      <c r="A134" s="9" t="s">
        <v>249</v>
      </c>
      <c r="B134" s="12">
        <v>0.0</v>
      </c>
      <c r="C134" s="12">
        <v>60.0</v>
      </c>
      <c r="D134" s="12">
        <v>0.0</v>
      </c>
      <c r="E134" s="9" t="s">
        <v>190</v>
      </c>
      <c r="F134" s="9" t="str">
        <f t="shared" si="2"/>
        <v>TRABALHO</v>
      </c>
      <c r="G134" s="9"/>
    </row>
    <row r="135">
      <c r="A135" s="9" t="s">
        <v>250</v>
      </c>
      <c r="B135" s="12">
        <v>4.0</v>
      </c>
      <c r="C135" s="12">
        <v>60.0</v>
      </c>
      <c r="D135" s="12">
        <v>0.0</v>
      </c>
      <c r="E135" s="9" t="s">
        <v>190</v>
      </c>
      <c r="F135" s="9" t="str">
        <f t="shared" si="2"/>
        <v>DIL01234</v>
      </c>
      <c r="G135" s="9"/>
    </row>
    <row r="136">
      <c r="A136" s="9" t="s">
        <v>255</v>
      </c>
      <c r="B136" s="12">
        <v>4.0</v>
      </c>
      <c r="C136" s="12">
        <v>60.0</v>
      </c>
      <c r="D136" s="12">
        <v>0.0</v>
      </c>
      <c r="E136" s="9" t="s">
        <v>190</v>
      </c>
      <c r="F136" s="9" t="str">
        <f t="shared" si="2"/>
        <v>DIL01228</v>
      </c>
      <c r="G136" s="9"/>
    </row>
    <row r="137">
      <c r="A137" s="9" t="s">
        <v>256</v>
      </c>
      <c r="B137" s="12">
        <v>4.0</v>
      </c>
      <c r="C137" s="12">
        <v>60.0</v>
      </c>
      <c r="D137" s="12">
        <v>15.0</v>
      </c>
      <c r="E137" s="9" t="s">
        <v>190</v>
      </c>
      <c r="F137" s="9" t="str">
        <f t="shared" si="2"/>
        <v>DIL01230</v>
      </c>
      <c r="G137" s="9"/>
    </row>
    <row r="138">
      <c r="A138" s="9" t="s">
        <v>258</v>
      </c>
      <c r="B138" s="12">
        <v>4.0</v>
      </c>
      <c r="C138" s="12">
        <v>60.0</v>
      </c>
      <c r="D138" s="12">
        <v>0.0</v>
      </c>
      <c r="E138" s="9" t="s">
        <v>190</v>
      </c>
      <c r="F138" s="9" t="str">
        <f t="shared" si="2"/>
        <v>DIL01128</v>
      </c>
      <c r="G138" s="9"/>
    </row>
    <row r="139">
      <c r="A139" s="9" t="s">
        <v>260</v>
      </c>
      <c r="B139" s="12">
        <v>4.0</v>
      </c>
      <c r="C139" s="12">
        <v>60.0</v>
      </c>
      <c r="D139" s="12">
        <v>15.0</v>
      </c>
      <c r="E139" s="9" t="s">
        <v>190</v>
      </c>
      <c r="F139" s="9" t="str">
        <f t="shared" si="2"/>
        <v>DIL01233</v>
      </c>
      <c r="G139" s="9"/>
    </row>
    <row r="140">
      <c r="A140" s="9" t="s">
        <v>261</v>
      </c>
      <c r="B140" s="12">
        <v>4.0</v>
      </c>
      <c r="C140" s="12">
        <v>60.0</v>
      </c>
      <c r="D140" s="12">
        <v>15.0</v>
      </c>
      <c r="E140" s="9" t="s">
        <v>190</v>
      </c>
      <c r="F140" s="9" t="str">
        <f t="shared" si="2"/>
        <v>DIL01245</v>
      </c>
      <c r="G140" s="9"/>
    </row>
    <row r="141">
      <c r="A141" s="9" t="s">
        <v>263</v>
      </c>
      <c r="B141" s="12">
        <v>4.0</v>
      </c>
      <c r="C141" s="12">
        <v>60.0</v>
      </c>
      <c r="D141" s="12">
        <v>0.0</v>
      </c>
      <c r="E141" s="9" t="s">
        <v>190</v>
      </c>
      <c r="F141" s="9" t="str">
        <f t="shared" si="2"/>
        <v>DIL01235</v>
      </c>
      <c r="G141" s="9"/>
    </row>
    <row r="142">
      <c r="A142" s="9" t="s">
        <v>265</v>
      </c>
      <c r="B142" s="12">
        <v>4.0</v>
      </c>
      <c r="C142" s="12">
        <v>60.0</v>
      </c>
      <c r="D142" s="12">
        <v>60.0</v>
      </c>
      <c r="E142" s="9" t="s">
        <v>190</v>
      </c>
      <c r="F142" s="9" t="str">
        <f t="shared" si="2"/>
        <v>DIL01091</v>
      </c>
      <c r="G142" s="9"/>
    </row>
    <row r="143">
      <c r="A143" s="9" t="s">
        <v>266</v>
      </c>
      <c r="B143" s="12">
        <v>4.0</v>
      </c>
      <c r="C143" s="12">
        <v>60.0</v>
      </c>
      <c r="D143" s="12">
        <v>0.0</v>
      </c>
      <c r="E143" s="9" t="s">
        <v>190</v>
      </c>
      <c r="F143" s="9" t="str">
        <f t="shared" si="2"/>
        <v>DIL01229</v>
      </c>
      <c r="G143" s="9"/>
    </row>
    <row r="144">
      <c r="A144" s="9" t="s">
        <v>269</v>
      </c>
      <c r="B144" s="12">
        <v>4.0</v>
      </c>
      <c r="C144" s="12">
        <v>60.0</v>
      </c>
      <c r="D144" s="12">
        <v>0.0</v>
      </c>
      <c r="E144" s="9" t="s">
        <v>190</v>
      </c>
      <c r="F144" s="9" t="str">
        <f t="shared" si="2"/>
        <v>DIL01238</v>
      </c>
      <c r="G144" s="9"/>
    </row>
    <row r="145">
      <c r="A145" s="9" t="s">
        <v>271</v>
      </c>
      <c r="B145" s="12">
        <v>2.0</v>
      </c>
      <c r="C145" s="12">
        <v>30.0</v>
      </c>
      <c r="D145" s="12">
        <v>0.0</v>
      </c>
      <c r="E145" s="9" t="s">
        <v>190</v>
      </c>
      <c r="F145" s="9" t="str">
        <f t="shared" si="2"/>
        <v>DIL01236</v>
      </c>
      <c r="G145" s="9"/>
    </row>
    <row r="146">
      <c r="A146" s="9" t="s">
        <v>273</v>
      </c>
      <c r="B146" s="12">
        <v>4.0</v>
      </c>
      <c r="C146" s="12">
        <v>60.0</v>
      </c>
      <c r="D146" s="12">
        <v>0.0</v>
      </c>
      <c r="E146" s="9" t="s">
        <v>190</v>
      </c>
      <c r="F146" s="9" t="str">
        <f t="shared" si="2"/>
        <v>DIL01241</v>
      </c>
      <c r="G146" s="9"/>
    </row>
    <row r="147">
      <c r="A147" s="9" t="s">
        <v>276</v>
      </c>
      <c r="B147" s="12">
        <v>4.0</v>
      </c>
      <c r="C147" s="12">
        <v>60.0</v>
      </c>
      <c r="D147" s="12">
        <v>0.0</v>
      </c>
      <c r="E147" s="9" t="s">
        <v>190</v>
      </c>
      <c r="F147" s="9" t="str">
        <f t="shared" si="2"/>
        <v>DIL01240</v>
      </c>
      <c r="G147" s="9"/>
    </row>
    <row r="148">
      <c r="A148" s="9" t="s">
        <v>277</v>
      </c>
      <c r="B148" s="12">
        <v>4.0</v>
      </c>
      <c r="C148" s="12">
        <v>60.0</v>
      </c>
      <c r="D148" s="12">
        <v>0.0</v>
      </c>
      <c r="E148" s="9" t="s">
        <v>190</v>
      </c>
      <c r="F148" s="9" t="str">
        <f t="shared" si="2"/>
        <v>DIL01247</v>
      </c>
      <c r="G148" s="9"/>
    </row>
    <row r="149">
      <c r="A149" s="9" t="s">
        <v>279</v>
      </c>
      <c r="B149" s="12">
        <v>4.0</v>
      </c>
      <c r="C149" s="12">
        <v>60.0</v>
      </c>
      <c r="D149" s="12">
        <v>0.0</v>
      </c>
      <c r="E149" s="9" t="s">
        <v>190</v>
      </c>
      <c r="F149" s="9" t="str">
        <f t="shared" si="2"/>
        <v>DIL01253</v>
      </c>
      <c r="G149" s="9"/>
    </row>
    <row r="150">
      <c r="A150" s="9" t="s">
        <v>281</v>
      </c>
      <c r="B150" s="12">
        <v>4.0</v>
      </c>
      <c r="C150" s="12">
        <v>60.0</v>
      </c>
      <c r="D150" s="12">
        <v>60.0</v>
      </c>
      <c r="E150" s="9" t="s">
        <v>190</v>
      </c>
      <c r="F150" s="9" t="str">
        <f t="shared" si="2"/>
        <v>DIL01246</v>
      </c>
      <c r="G150" s="9"/>
    </row>
    <row r="151">
      <c r="A151" s="9" t="s">
        <v>283</v>
      </c>
      <c r="B151" s="12">
        <v>4.0</v>
      </c>
      <c r="C151" s="12">
        <v>60.0</v>
      </c>
      <c r="D151" s="12">
        <v>0.0</v>
      </c>
      <c r="E151" s="9" t="s">
        <v>190</v>
      </c>
      <c r="F151" s="9" t="str">
        <f t="shared" si="2"/>
        <v>DIL01250</v>
      </c>
      <c r="G151" s="9"/>
    </row>
    <row r="152">
      <c r="A152" s="9" t="s">
        <v>287</v>
      </c>
      <c r="B152" s="12">
        <v>4.0</v>
      </c>
      <c r="C152" s="12">
        <v>60.0</v>
      </c>
      <c r="D152" s="12">
        <v>0.0</v>
      </c>
      <c r="E152" s="9" t="s">
        <v>190</v>
      </c>
      <c r="F152" s="9" t="str">
        <f t="shared" si="2"/>
        <v>DIL01242</v>
      </c>
      <c r="G152" s="9"/>
    </row>
    <row r="153">
      <c r="A153" s="9" t="s">
        <v>288</v>
      </c>
      <c r="B153" s="12">
        <v>4.0</v>
      </c>
      <c r="C153" s="12">
        <v>60.0</v>
      </c>
      <c r="D153" s="12">
        <v>0.0</v>
      </c>
      <c r="E153" s="9" t="s">
        <v>190</v>
      </c>
      <c r="F153" s="9" t="str">
        <f t="shared" si="2"/>
        <v>DIL01243</v>
      </c>
      <c r="G153" s="9"/>
    </row>
    <row r="154">
      <c r="A154" s="9" t="s">
        <v>289</v>
      </c>
      <c r="B154" s="12">
        <v>4.0</v>
      </c>
      <c r="C154" s="12">
        <v>60.0</v>
      </c>
      <c r="D154" s="12">
        <v>15.0</v>
      </c>
      <c r="E154" s="9" t="s">
        <v>190</v>
      </c>
      <c r="F154" s="9" t="str">
        <f t="shared" si="2"/>
        <v>DIL01244</v>
      </c>
      <c r="G154" s="9"/>
    </row>
    <row r="155">
      <c r="A155" s="9" t="s">
        <v>290</v>
      </c>
      <c r="B155" s="12">
        <v>4.0</v>
      </c>
      <c r="C155" s="12">
        <v>60.0</v>
      </c>
      <c r="D155" s="9"/>
      <c r="E155" s="9" t="s">
        <v>190</v>
      </c>
      <c r="F155" s="9" t="str">
        <f t="shared" si="2"/>
        <v>DIL01239</v>
      </c>
      <c r="G155" s="9"/>
    </row>
    <row r="156">
      <c r="A156" s="9" t="s">
        <v>293</v>
      </c>
      <c r="B156" s="12">
        <v>4.0</v>
      </c>
      <c r="C156" s="12">
        <v>60.0</v>
      </c>
      <c r="D156" s="12">
        <v>0.0</v>
      </c>
      <c r="E156" s="9" t="s">
        <v>190</v>
      </c>
      <c r="F156" s="9" t="str">
        <f t="shared" si="2"/>
        <v>DIL01256</v>
      </c>
      <c r="G156" s="9"/>
    </row>
    <row r="157">
      <c r="A157" s="9" t="s">
        <v>294</v>
      </c>
      <c r="B157" s="12">
        <v>4.0</v>
      </c>
      <c r="C157" s="12">
        <v>60.0</v>
      </c>
      <c r="D157" s="12">
        <v>15.0</v>
      </c>
      <c r="E157" s="9" t="s">
        <v>190</v>
      </c>
      <c r="F157" s="9" t="str">
        <f t="shared" si="2"/>
        <v>DIL01249</v>
      </c>
      <c r="G157" s="9"/>
    </row>
    <row r="158">
      <c r="A158" s="9" t="s">
        <v>296</v>
      </c>
      <c r="B158" s="12">
        <v>4.0</v>
      </c>
      <c r="C158" s="12">
        <v>60.0</v>
      </c>
      <c r="D158" s="12">
        <v>0.0</v>
      </c>
      <c r="E158" s="9" t="s">
        <v>190</v>
      </c>
      <c r="F158" s="9" t="str">
        <f t="shared" si="2"/>
        <v>DIL01248</v>
      </c>
      <c r="G158" s="9"/>
    </row>
    <row r="159">
      <c r="A159" s="9" t="s">
        <v>299</v>
      </c>
      <c r="B159" s="12">
        <v>4.0</v>
      </c>
      <c r="C159" s="12">
        <v>60.0</v>
      </c>
      <c r="D159" s="12">
        <v>0.0</v>
      </c>
      <c r="E159" s="9" t="s">
        <v>190</v>
      </c>
      <c r="F159" s="9" t="str">
        <f t="shared" si="2"/>
        <v>DIL01257</v>
      </c>
      <c r="G159" s="9"/>
    </row>
    <row r="160">
      <c r="A160" s="9" t="s">
        <v>301</v>
      </c>
      <c r="B160" s="12">
        <v>4.0</v>
      </c>
      <c r="C160" s="12">
        <v>60.0</v>
      </c>
      <c r="D160" s="12">
        <v>0.0</v>
      </c>
      <c r="E160" s="9" t="s">
        <v>190</v>
      </c>
      <c r="F160" s="9" t="str">
        <f t="shared" si="2"/>
        <v>DIL01377</v>
      </c>
      <c r="G160" s="9"/>
    </row>
    <row r="161">
      <c r="A161" s="9" t="s">
        <v>304</v>
      </c>
      <c r="B161" s="12">
        <v>4.0</v>
      </c>
      <c r="C161" s="12">
        <v>60.0</v>
      </c>
      <c r="D161" s="12">
        <v>0.0</v>
      </c>
      <c r="E161" s="9" t="s">
        <v>190</v>
      </c>
      <c r="F161" s="9" t="str">
        <f t="shared" si="2"/>
        <v>DIL01251</v>
      </c>
      <c r="G161" s="9"/>
    </row>
    <row r="162">
      <c r="A162" s="9" t="s">
        <v>306</v>
      </c>
      <c r="B162" s="9" t="s">
        <v>34</v>
      </c>
      <c r="C162" s="12">
        <v>2.0</v>
      </c>
      <c r="D162" s="9"/>
      <c r="E162" s="9" t="s">
        <v>190</v>
      </c>
      <c r="F162" s="9" t="str">
        <f t="shared" si="2"/>
        <v>DIL01252</v>
      </c>
      <c r="G162" s="9"/>
    </row>
    <row r="163">
      <c r="A163" s="9" t="s">
        <v>307</v>
      </c>
      <c r="B163" s="12">
        <v>0.0</v>
      </c>
      <c r="C163" s="12">
        <v>90.0</v>
      </c>
      <c r="D163" s="12">
        <v>0.0</v>
      </c>
      <c r="E163" s="9" t="s">
        <v>190</v>
      </c>
      <c r="F163" s="9" t="str">
        <f t="shared" si="2"/>
        <v>TRABALHO</v>
      </c>
      <c r="G163" s="9"/>
    </row>
    <row r="164">
      <c r="A164" s="9" t="s">
        <v>310</v>
      </c>
      <c r="B164" s="12">
        <v>4.0</v>
      </c>
      <c r="C164" s="12">
        <v>60.0</v>
      </c>
      <c r="D164" s="12">
        <v>0.0</v>
      </c>
      <c r="E164" s="9" t="s">
        <v>190</v>
      </c>
      <c r="F164" s="9" t="str">
        <f t="shared" si="2"/>
        <v>DIL01093</v>
      </c>
      <c r="G164" s="9"/>
    </row>
    <row r="165">
      <c r="A165" s="9" t="s">
        <v>311</v>
      </c>
      <c r="B165" s="12">
        <v>4.0</v>
      </c>
      <c r="C165" s="12">
        <v>60.0</v>
      </c>
      <c r="D165" s="12">
        <v>15.0</v>
      </c>
      <c r="E165" s="9" t="s">
        <v>190</v>
      </c>
      <c r="F165" s="9" t="str">
        <f t="shared" si="2"/>
        <v>DIL01094</v>
      </c>
      <c r="G165" s="9"/>
    </row>
    <row r="166">
      <c r="A166" s="9" t="s">
        <v>316</v>
      </c>
      <c r="B166" s="12">
        <v>6.0</v>
      </c>
      <c r="C166" s="12">
        <v>90.0</v>
      </c>
      <c r="D166" s="12">
        <v>0.0</v>
      </c>
      <c r="E166" s="9" t="s">
        <v>190</v>
      </c>
      <c r="F166" s="9" t="str">
        <f t="shared" si="2"/>
        <v>DIL01088</v>
      </c>
      <c r="G166" s="9"/>
    </row>
    <row r="167">
      <c r="A167" s="9" t="s">
        <v>317</v>
      </c>
      <c r="B167" s="12">
        <v>4.0</v>
      </c>
      <c r="C167" s="12">
        <v>60.0</v>
      </c>
      <c r="D167" s="12">
        <v>15.0</v>
      </c>
      <c r="E167" s="9" t="s">
        <v>190</v>
      </c>
      <c r="F167" s="9" t="str">
        <f t="shared" si="2"/>
        <v>DIL01095</v>
      </c>
      <c r="G167" s="9"/>
    </row>
    <row r="168">
      <c r="A168" s="9" t="s">
        <v>319</v>
      </c>
      <c r="B168" s="12">
        <v>4.0</v>
      </c>
      <c r="C168" s="12">
        <v>60.0</v>
      </c>
      <c r="D168" s="12">
        <v>0.0</v>
      </c>
      <c r="E168" s="9" t="s">
        <v>190</v>
      </c>
      <c r="F168" s="9" t="str">
        <f t="shared" si="2"/>
        <v>DIL01096</v>
      </c>
      <c r="G168" s="9"/>
    </row>
    <row r="169">
      <c r="A169" s="9" t="s">
        <v>321</v>
      </c>
      <c r="B169" s="12">
        <v>4.0</v>
      </c>
      <c r="C169" s="12">
        <v>60.0</v>
      </c>
      <c r="D169" s="12">
        <v>15.0</v>
      </c>
      <c r="E169" s="9" t="s">
        <v>190</v>
      </c>
      <c r="F169" s="9" t="str">
        <f t="shared" si="2"/>
        <v>DIL01097</v>
      </c>
      <c r="G169" s="9"/>
    </row>
    <row r="170">
      <c r="A170" s="9" t="s">
        <v>322</v>
      </c>
      <c r="B170" s="12">
        <v>2.0</v>
      </c>
      <c r="C170" s="12">
        <v>30.0</v>
      </c>
      <c r="D170" s="12">
        <v>15.0</v>
      </c>
      <c r="E170" s="9" t="s">
        <v>190</v>
      </c>
      <c r="F170" s="9" t="str">
        <f t="shared" si="2"/>
        <v>DIL01369</v>
      </c>
      <c r="G170" s="9"/>
    </row>
    <row r="171">
      <c r="A171" s="9" t="s">
        <v>325</v>
      </c>
      <c r="B171" s="12">
        <v>2.0</v>
      </c>
      <c r="C171" s="12">
        <v>30.0</v>
      </c>
      <c r="D171" s="12">
        <v>0.0</v>
      </c>
      <c r="E171" s="9" t="s">
        <v>190</v>
      </c>
      <c r="F171" s="9" t="str">
        <f t="shared" si="2"/>
        <v>DIL01368</v>
      </c>
      <c r="G171" s="9"/>
    </row>
    <row r="172">
      <c r="A172" s="9" t="s">
        <v>326</v>
      </c>
      <c r="B172" s="12">
        <v>4.0</v>
      </c>
      <c r="C172" s="12">
        <v>60.0</v>
      </c>
      <c r="D172" s="12">
        <v>15.0</v>
      </c>
      <c r="E172" s="9" t="s">
        <v>190</v>
      </c>
      <c r="F172" s="9" t="str">
        <f t="shared" si="2"/>
        <v>DIL01072</v>
      </c>
      <c r="G172" s="9"/>
    </row>
    <row r="173">
      <c r="A173" s="9" t="s">
        <v>328</v>
      </c>
      <c r="B173" s="12">
        <v>4.0</v>
      </c>
      <c r="C173" s="12">
        <v>60.0</v>
      </c>
      <c r="D173" s="12">
        <v>0.0</v>
      </c>
      <c r="E173" s="9" t="s">
        <v>190</v>
      </c>
      <c r="F173" s="9" t="str">
        <f t="shared" si="2"/>
        <v>DIL01197</v>
      </c>
      <c r="G173" s="9"/>
    </row>
    <row r="174">
      <c r="A174" s="9" t="s">
        <v>331</v>
      </c>
      <c r="B174" s="12">
        <v>6.0</v>
      </c>
      <c r="C174" s="12">
        <v>90.0</v>
      </c>
      <c r="D174" s="12">
        <v>15.0</v>
      </c>
      <c r="E174" s="9" t="s">
        <v>190</v>
      </c>
      <c r="F174" s="9" t="str">
        <f t="shared" si="2"/>
        <v>DIL01098</v>
      </c>
      <c r="G174" s="9"/>
    </row>
    <row r="175">
      <c r="A175" s="9" t="s">
        <v>332</v>
      </c>
      <c r="B175" s="12">
        <v>6.0</v>
      </c>
      <c r="C175" s="12">
        <v>90.0</v>
      </c>
      <c r="D175" s="12">
        <v>15.0</v>
      </c>
      <c r="E175" s="9" t="s">
        <v>190</v>
      </c>
      <c r="F175" s="9" t="str">
        <f t="shared" si="2"/>
        <v>DIL01198</v>
      </c>
      <c r="G175" s="9"/>
    </row>
    <row r="176">
      <c r="A176" s="9" t="s">
        <v>334</v>
      </c>
      <c r="B176" s="12">
        <v>4.0</v>
      </c>
      <c r="C176" s="12">
        <v>60.0</v>
      </c>
      <c r="D176" s="12">
        <v>15.0</v>
      </c>
      <c r="E176" s="9" t="s">
        <v>190</v>
      </c>
      <c r="F176" s="9" t="str">
        <f t="shared" si="2"/>
        <v>DIL01372</v>
      </c>
      <c r="G176" s="9"/>
    </row>
    <row r="177">
      <c r="A177" s="9" t="s">
        <v>338</v>
      </c>
      <c r="B177" s="12">
        <v>8.0</v>
      </c>
      <c r="C177" s="12">
        <v>120.0</v>
      </c>
      <c r="D177" s="12">
        <v>0.0</v>
      </c>
      <c r="E177" s="9" t="s">
        <v>190</v>
      </c>
      <c r="F177" s="9" t="str">
        <f t="shared" si="2"/>
        <v>DIL01371</v>
      </c>
      <c r="G177" s="9"/>
    </row>
    <row r="178">
      <c r="A178" s="9" t="s">
        <v>339</v>
      </c>
      <c r="B178" s="12">
        <v>4.0</v>
      </c>
      <c r="C178" s="12">
        <v>60.0</v>
      </c>
      <c r="D178" s="12">
        <v>0.0</v>
      </c>
      <c r="E178" s="9" t="s">
        <v>190</v>
      </c>
      <c r="F178" s="9" t="str">
        <f t="shared" si="2"/>
        <v>DIL01374</v>
      </c>
      <c r="G178" s="9"/>
    </row>
    <row r="179">
      <c r="A179" s="9" t="s">
        <v>342</v>
      </c>
      <c r="B179" s="12">
        <v>4.0</v>
      </c>
      <c r="C179" s="12">
        <v>60.0</v>
      </c>
      <c r="D179" s="12">
        <v>0.0</v>
      </c>
      <c r="E179" s="9" t="s">
        <v>190</v>
      </c>
      <c r="F179" s="9" t="str">
        <f t="shared" si="2"/>
        <v>DIL01203</v>
      </c>
      <c r="G179" s="9"/>
    </row>
    <row r="180">
      <c r="A180" s="9" t="s">
        <v>345</v>
      </c>
      <c r="B180" s="12">
        <v>4.0</v>
      </c>
      <c r="C180" s="12">
        <v>60.0</v>
      </c>
      <c r="D180" s="12">
        <v>15.0</v>
      </c>
      <c r="E180" s="9" t="s">
        <v>190</v>
      </c>
      <c r="F180" s="9" t="str">
        <f t="shared" si="2"/>
        <v>DIL01370</v>
      </c>
      <c r="G180" s="9"/>
    </row>
    <row r="181">
      <c r="A181" s="9" t="s">
        <v>346</v>
      </c>
      <c r="B181" s="12">
        <v>10.0</v>
      </c>
      <c r="C181" s="12">
        <v>150.0</v>
      </c>
      <c r="D181" s="12">
        <v>0.0</v>
      </c>
      <c r="E181" s="9" t="s">
        <v>190</v>
      </c>
      <c r="F181" s="9" t="str">
        <f t="shared" si="2"/>
        <v>DIL01373</v>
      </c>
      <c r="G181" s="9"/>
    </row>
    <row r="182">
      <c r="A182" s="9" t="s">
        <v>349</v>
      </c>
      <c r="B182" s="12">
        <v>6.0</v>
      </c>
      <c r="C182" s="12">
        <v>90.0</v>
      </c>
      <c r="D182" s="12">
        <v>15.0</v>
      </c>
      <c r="E182" s="9" t="s">
        <v>190</v>
      </c>
      <c r="F182" s="9" t="str">
        <f t="shared" si="2"/>
        <v>DIL01207</v>
      </c>
      <c r="G182" s="9"/>
    </row>
    <row r="183">
      <c r="A183" s="9" t="s">
        <v>352</v>
      </c>
      <c r="B183" s="12">
        <v>4.0</v>
      </c>
      <c r="C183" s="12">
        <v>60.0</v>
      </c>
      <c r="D183" s="12">
        <v>0.0</v>
      </c>
      <c r="E183" s="9" t="s">
        <v>190</v>
      </c>
      <c r="F183" s="9" t="str">
        <f t="shared" si="2"/>
        <v>DIL01376</v>
      </c>
      <c r="G183" s="9"/>
    </row>
    <row r="184">
      <c r="A184" s="9" t="s">
        <v>353</v>
      </c>
      <c r="B184" s="12">
        <v>4.0</v>
      </c>
      <c r="C184" s="12">
        <v>60.0</v>
      </c>
      <c r="D184" s="12">
        <v>0.0</v>
      </c>
      <c r="E184" s="9" t="s">
        <v>190</v>
      </c>
      <c r="F184" s="9" t="str">
        <f t="shared" si="2"/>
        <v>DIL01099</v>
      </c>
      <c r="G184" s="9"/>
    </row>
    <row r="185">
      <c r="A185" s="9" t="s">
        <v>354</v>
      </c>
      <c r="B185" s="12">
        <v>0.0</v>
      </c>
      <c r="C185" s="12">
        <v>30.0</v>
      </c>
      <c r="D185" s="12">
        <v>0.0</v>
      </c>
      <c r="E185" s="9" t="s">
        <v>190</v>
      </c>
      <c r="F185" s="9" t="str">
        <f t="shared" si="2"/>
        <v>TRABALHO</v>
      </c>
      <c r="G185" s="9"/>
    </row>
    <row r="186">
      <c r="A186" s="9" t="s">
        <v>356</v>
      </c>
      <c r="B186" s="12">
        <v>10.0</v>
      </c>
      <c r="C186" s="12">
        <v>150.0</v>
      </c>
      <c r="D186" s="12">
        <v>0.0</v>
      </c>
      <c r="E186" s="9" t="s">
        <v>190</v>
      </c>
      <c r="F186" s="9" t="str">
        <f t="shared" si="2"/>
        <v>DIL01375</v>
      </c>
      <c r="G186" s="9"/>
    </row>
    <row r="187">
      <c r="A187" s="9" t="s">
        <v>357</v>
      </c>
      <c r="B187" s="12">
        <v>0.0</v>
      </c>
      <c r="C187" s="12">
        <v>60.0</v>
      </c>
      <c r="D187" s="12">
        <v>0.0</v>
      </c>
      <c r="E187" s="9" t="s">
        <v>190</v>
      </c>
      <c r="F187" s="9" t="str">
        <f t="shared" si="2"/>
        <v>TRABALHO</v>
      </c>
      <c r="G187" s="9"/>
    </row>
    <row r="188">
      <c r="A188" s="9" t="s">
        <v>359</v>
      </c>
      <c r="B188" s="12">
        <v>4.0</v>
      </c>
      <c r="C188" s="12">
        <v>60.0</v>
      </c>
      <c r="D188" s="12">
        <v>15.0</v>
      </c>
      <c r="E188" s="9" t="s">
        <v>190</v>
      </c>
      <c r="F188" s="9" t="str">
        <f t="shared" si="2"/>
        <v>DIL01347</v>
      </c>
      <c r="G188" s="9"/>
    </row>
    <row r="189">
      <c r="A189" s="9" t="s">
        <v>361</v>
      </c>
      <c r="B189" s="12">
        <v>4.0</v>
      </c>
      <c r="C189" s="12">
        <v>60.0</v>
      </c>
      <c r="D189" s="12">
        <v>6.0</v>
      </c>
      <c r="E189" s="9" t="s">
        <v>190</v>
      </c>
      <c r="F189" s="9" t="str">
        <f t="shared" si="2"/>
        <v>DIL01061</v>
      </c>
      <c r="G189" s="9"/>
    </row>
    <row r="190">
      <c r="A190" s="9" t="s">
        <v>362</v>
      </c>
      <c r="B190" s="12">
        <v>4.0</v>
      </c>
      <c r="C190" s="12">
        <v>60.0</v>
      </c>
      <c r="D190" s="12">
        <v>0.0</v>
      </c>
      <c r="E190" s="9" t="s">
        <v>190</v>
      </c>
      <c r="F190" s="9" t="str">
        <f t="shared" si="2"/>
        <v>DIL01220</v>
      </c>
      <c r="G190" s="9"/>
    </row>
    <row r="191">
      <c r="A191" s="9" t="s">
        <v>365</v>
      </c>
      <c r="B191" s="12">
        <v>4.0</v>
      </c>
      <c r="C191" s="12">
        <v>60.0</v>
      </c>
      <c r="D191" s="12">
        <v>6.0</v>
      </c>
      <c r="E191" s="9" t="s">
        <v>190</v>
      </c>
      <c r="F191" s="9" t="str">
        <f t="shared" si="2"/>
        <v>DIL01214</v>
      </c>
      <c r="G191" s="9"/>
    </row>
    <row r="192">
      <c r="A192" s="9" t="s">
        <v>366</v>
      </c>
      <c r="B192" s="12">
        <v>4.0</v>
      </c>
      <c r="C192" s="12">
        <v>60.0</v>
      </c>
      <c r="D192" s="12">
        <v>6.0</v>
      </c>
      <c r="E192" s="9" t="s">
        <v>190</v>
      </c>
      <c r="F192" s="9" t="str">
        <f t="shared" si="2"/>
        <v>DIL01077</v>
      </c>
      <c r="G192" s="9"/>
    </row>
    <row r="193">
      <c r="A193" s="9" t="s">
        <v>368</v>
      </c>
      <c r="B193" s="12">
        <v>4.0</v>
      </c>
      <c r="C193" s="12">
        <v>60.0</v>
      </c>
      <c r="D193" s="12">
        <v>45.0</v>
      </c>
      <c r="E193" s="9" t="s">
        <v>190</v>
      </c>
      <c r="F193" s="9" t="str">
        <f t="shared" si="2"/>
        <v>DIL01345</v>
      </c>
      <c r="G193" s="9"/>
    </row>
    <row r="194">
      <c r="A194" s="9" t="s">
        <v>370</v>
      </c>
      <c r="B194" s="12">
        <v>4.0</v>
      </c>
      <c r="C194" s="12">
        <v>60.0</v>
      </c>
      <c r="D194" s="12">
        <v>4.0</v>
      </c>
      <c r="E194" s="9" t="s">
        <v>190</v>
      </c>
      <c r="F194" s="9" t="str">
        <f t="shared" si="2"/>
        <v>DIL01055</v>
      </c>
      <c r="G194" s="9"/>
    </row>
    <row r="195">
      <c r="A195" s="9" t="s">
        <v>371</v>
      </c>
      <c r="B195" s="12">
        <v>3.0</v>
      </c>
      <c r="C195" s="12">
        <v>45.0</v>
      </c>
      <c r="D195" s="12">
        <v>0.0</v>
      </c>
      <c r="E195" s="9" t="s">
        <v>190</v>
      </c>
      <c r="F195" s="9" t="str">
        <f t="shared" si="2"/>
        <v>DIL01177</v>
      </c>
      <c r="G195" s="9"/>
    </row>
    <row r="196">
      <c r="A196" s="9" t="s">
        <v>374</v>
      </c>
      <c r="B196" s="12">
        <v>2.0</v>
      </c>
      <c r="C196" s="12">
        <v>30.0</v>
      </c>
      <c r="D196" s="12">
        <v>0.0</v>
      </c>
      <c r="E196" s="9" t="s">
        <v>190</v>
      </c>
      <c r="F196" s="9" t="str">
        <f t="shared" si="2"/>
        <v>DIL01082</v>
      </c>
      <c r="G196" s="9"/>
    </row>
    <row r="197">
      <c r="A197" s="9" t="s">
        <v>375</v>
      </c>
      <c r="B197" s="12">
        <v>4.0</v>
      </c>
      <c r="C197" s="12">
        <v>60.0</v>
      </c>
      <c r="D197" s="12">
        <v>12.0</v>
      </c>
      <c r="E197" s="9" t="s">
        <v>190</v>
      </c>
      <c r="F197" s="9" t="str">
        <f t="shared" si="2"/>
        <v>DIL01211</v>
      </c>
      <c r="G197" s="9"/>
    </row>
    <row r="198">
      <c r="A198" s="9" t="s">
        <v>376</v>
      </c>
      <c r="B198" s="12">
        <v>4.0</v>
      </c>
      <c r="C198" s="12">
        <v>60.0</v>
      </c>
      <c r="D198" s="12">
        <v>0.0</v>
      </c>
      <c r="E198" s="9" t="s">
        <v>190</v>
      </c>
      <c r="F198" s="9" t="str">
        <f t="shared" si="2"/>
        <v>DIL01443</v>
      </c>
      <c r="G198" s="9"/>
    </row>
    <row r="199">
      <c r="A199" s="9" t="s">
        <v>379</v>
      </c>
      <c r="B199" s="12">
        <v>3.0</v>
      </c>
      <c r="C199" s="12">
        <v>45.0</v>
      </c>
      <c r="D199" s="12">
        <v>0.0</v>
      </c>
      <c r="E199" s="9" t="s">
        <v>190</v>
      </c>
      <c r="F199" s="9" t="str">
        <f t="shared" si="2"/>
        <v>DIL01221</v>
      </c>
      <c r="G199" s="9"/>
    </row>
    <row r="200">
      <c r="A200" s="9" t="s">
        <v>380</v>
      </c>
      <c r="B200" s="12">
        <v>4.0</v>
      </c>
      <c r="C200" s="12">
        <v>60.0</v>
      </c>
      <c r="D200" s="12">
        <v>6.0</v>
      </c>
      <c r="E200" s="9" t="s">
        <v>190</v>
      </c>
      <c r="F200" s="9" t="str">
        <f t="shared" si="2"/>
        <v>DIL01212</v>
      </c>
      <c r="G200" s="9"/>
    </row>
    <row r="201">
      <c r="A201" s="9" t="s">
        <v>383</v>
      </c>
      <c r="B201" s="12">
        <v>3.0</v>
      </c>
      <c r="C201" s="12">
        <v>45.0</v>
      </c>
      <c r="D201" s="12">
        <v>0.0</v>
      </c>
      <c r="E201" s="9" t="s">
        <v>190</v>
      </c>
      <c r="F201" s="9" t="str">
        <f t="shared" si="2"/>
        <v>DIL01297</v>
      </c>
      <c r="G201" s="9"/>
    </row>
    <row r="202">
      <c r="A202" s="9" t="s">
        <v>386</v>
      </c>
      <c r="B202" s="12">
        <v>4.0</v>
      </c>
      <c r="C202" s="12">
        <v>60.0</v>
      </c>
      <c r="D202" s="12">
        <v>6.0</v>
      </c>
      <c r="E202" s="9" t="s">
        <v>190</v>
      </c>
      <c r="F202" s="9" t="str">
        <f t="shared" si="2"/>
        <v>DIL01213</v>
      </c>
      <c r="G202" s="9"/>
    </row>
    <row r="203">
      <c r="A203" s="9" t="s">
        <v>388</v>
      </c>
      <c r="B203" s="12">
        <v>2.0</v>
      </c>
      <c r="C203" s="12">
        <v>30.0</v>
      </c>
      <c r="D203" s="12">
        <v>4.0</v>
      </c>
      <c r="E203" s="9" t="s">
        <v>190</v>
      </c>
      <c r="F203" s="9" t="str">
        <f t="shared" si="2"/>
        <v>DIL01313</v>
      </c>
      <c r="G203" s="9"/>
    </row>
    <row r="204">
      <c r="A204" s="9" t="s">
        <v>392</v>
      </c>
      <c r="B204" s="12">
        <v>3.0</v>
      </c>
      <c r="C204" s="12">
        <v>45.0</v>
      </c>
      <c r="D204" s="12">
        <v>0.0</v>
      </c>
      <c r="E204" s="9" t="s">
        <v>190</v>
      </c>
      <c r="F204" s="9" t="str">
        <f t="shared" si="2"/>
        <v>DIL01308</v>
      </c>
      <c r="G204" s="9"/>
    </row>
    <row r="205">
      <c r="A205" s="9" t="s">
        <v>393</v>
      </c>
      <c r="B205" s="12">
        <v>3.0</v>
      </c>
      <c r="C205" s="12">
        <v>45.0</v>
      </c>
      <c r="D205" s="12">
        <v>6.0</v>
      </c>
      <c r="E205" s="9" t="s">
        <v>190</v>
      </c>
      <c r="F205" s="9" t="str">
        <f t="shared" si="2"/>
        <v>DIL01341</v>
      </c>
      <c r="G205" s="9"/>
    </row>
    <row r="206">
      <c r="A206" s="9" t="s">
        <v>396</v>
      </c>
      <c r="B206" s="12">
        <v>4.0</v>
      </c>
      <c r="C206" s="12">
        <v>60.0</v>
      </c>
      <c r="D206" s="12">
        <v>0.0</v>
      </c>
      <c r="E206" s="9" t="s">
        <v>190</v>
      </c>
      <c r="F206" s="9" t="str">
        <f t="shared" si="2"/>
        <v>DIL01333</v>
      </c>
      <c r="G206" s="9"/>
    </row>
    <row r="207">
      <c r="A207" s="9" t="s">
        <v>399</v>
      </c>
      <c r="B207" s="12">
        <v>2.0</v>
      </c>
      <c r="C207" s="12">
        <v>30.0</v>
      </c>
      <c r="D207" s="12">
        <v>0.0</v>
      </c>
      <c r="E207" s="9" t="s">
        <v>190</v>
      </c>
      <c r="F207" s="9" t="str">
        <f t="shared" si="2"/>
        <v>DIL01299</v>
      </c>
      <c r="G207" s="9"/>
    </row>
    <row r="208">
      <c r="A208" s="9" t="s">
        <v>400</v>
      </c>
      <c r="B208" s="12">
        <v>4.0</v>
      </c>
      <c r="C208" s="12">
        <v>60.0</v>
      </c>
      <c r="D208" s="12">
        <v>6.0</v>
      </c>
      <c r="E208" s="9" t="s">
        <v>190</v>
      </c>
      <c r="F208" s="9" t="str">
        <f t="shared" si="2"/>
        <v>DIL01217</v>
      </c>
      <c r="G208" s="9"/>
    </row>
    <row r="209">
      <c r="A209" s="9" t="s">
        <v>402</v>
      </c>
      <c r="B209" s="12">
        <v>3.0</v>
      </c>
      <c r="C209" s="12">
        <v>45.0</v>
      </c>
      <c r="D209" s="12">
        <v>30.0</v>
      </c>
      <c r="E209" s="9" t="s">
        <v>190</v>
      </c>
      <c r="F209" s="9" t="str">
        <f t="shared" si="2"/>
        <v>DIL01331</v>
      </c>
      <c r="G209" s="9"/>
    </row>
    <row r="210">
      <c r="A210" s="9" t="s">
        <v>406</v>
      </c>
      <c r="B210" s="12">
        <v>4.0</v>
      </c>
      <c r="C210" s="12">
        <v>60.0</v>
      </c>
      <c r="D210" s="12">
        <v>6.0</v>
      </c>
      <c r="E210" s="9" t="s">
        <v>190</v>
      </c>
      <c r="F210" s="9" t="str">
        <f t="shared" si="2"/>
        <v>DIL01227</v>
      </c>
      <c r="G210" s="9"/>
    </row>
    <row r="211">
      <c r="A211" s="9" t="s">
        <v>407</v>
      </c>
      <c r="B211" s="12">
        <v>4.0</v>
      </c>
      <c r="C211" s="12">
        <v>60.0</v>
      </c>
      <c r="D211" s="12">
        <v>0.0</v>
      </c>
      <c r="E211" s="9" t="s">
        <v>190</v>
      </c>
      <c r="F211" s="9" t="str">
        <f t="shared" si="2"/>
        <v>DIL01317</v>
      </c>
      <c r="G211" s="9"/>
    </row>
    <row r="212">
      <c r="A212" s="9" t="s">
        <v>408</v>
      </c>
      <c r="B212" s="12">
        <v>2.0</v>
      </c>
      <c r="C212" s="12">
        <v>30.0</v>
      </c>
      <c r="D212" s="12">
        <v>3.0</v>
      </c>
      <c r="E212" s="9" t="s">
        <v>190</v>
      </c>
      <c r="F212" s="9" t="str">
        <f t="shared" si="2"/>
        <v>DIL01301</v>
      </c>
      <c r="G212" s="9"/>
    </row>
    <row r="213">
      <c r="A213" s="9" t="s">
        <v>412</v>
      </c>
      <c r="B213" s="12">
        <v>3.0</v>
      </c>
      <c r="C213" s="12">
        <v>45.0</v>
      </c>
      <c r="D213" s="12">
        <v>0.0</v>
      </c>
      <c r="E213" s="9" t="s">
        <v>190</v>
      </c>
      <c r="F213" s="9" t="str">
        <f t="shared" si="2"/>
        <v>DIL01183</v>
      </c>
      <c r="G213" s="9"/>
    </row>
    <row r="214">
      <c r="A214" s="9" t="s">
        <v>413</v>
      </c>
      <c r="B214" s="12">
        <v>4.0</v>
      </c>
      <c r="C214" s="12">
        <v>60.0</v>
      </c>
      <c r="D214" s="12">
        <v>6.0</v>
      </c>
      <c r="E214" s="9" t="s">
        <v>190</v>
      </c>
      <c r="F214" s="9" t="str">
        <f t="shared" si="2"/>
        <v>DIL01210</v>
      </c>
      <c r="G214" s="9"/>
    </row>
    <row r="215">
      <c r="A215" s="9" t="s">
        <v>416</v>
      </c>
      <c r="B215" s="12">
        <v>4.0</v>
      </c>
      <c r="C215" s="12">
        <v>60.0</v>
      </c>
      <c r="D215" s="12">
        <v>6.0</v>
      </c>
      <c r="E215" s="9" t="s">
        <v>190</v>
      </c>
      <c r="F215" s="9" t="str">
        <f t="shared" si="2"/>
        <v>DIL01215</v>
      </c>
      <c r="G215" s="9"/>
    </row>
    <row r="216">
      <c r="A216" s="9" t="s">
        <v>418</v>
      </c>
      <c r="B216" s="12">
        <v>4.0</v>
      </c>
      <c r="C216" s="12">
        <v>60.0</v>
      </c>
      <c r="D216" s="12">
        <v>6.0</v>
      </c>
      <c r="E216" s="9" t="s">
        <v>190</v>
      </c>
      <c r="F216" s="9" t="str">
        <f t="shared" si="2"/>
        <v>DIL01222</v>
      </c>
      <c r="G216" s="9"/>
    </row>
    <row r="217">
      <c r="A217" s="9" t="s">
        <v>420</v>
      </c>
      <c r="B217" s="12">
        <v>4.0</v>
      </c>
      <c r="C217" s="12">
        <v>60.0</v>
      </c>
      <c r="D217" s="12">
        <v>6.0</v>
      </c>
      <c r="E217" s="9" t="s">
        <v>190</v>
      </c>
      <c r="F217" s="9" t="str">
        <f t="shared" si="2"/>
        <v>DIL01216</v>
      </c>
      <c r="G217" s="9"/>
    </row>
    <row r="218">
      <c r="A218" s="9" t="s">
        <v>422</v>
      </c>
      <c r="B218" s="12">
        <v>4.0</v>
      </c>
      <c r="C218" s="12">
        <v>60.0</v>
      </c>
      <c r="D218" s="12">
        <v>6.0</v>
      </c>
      <c r="E218" s="9" t="s">
        <v>190</v>
      </c>
      <c r="F218" s="9" t="str">
        <f t="shared" si="2"/>
        <v>DIL01223</v>
      </c>
      <c r="G218" s="9"/>
    </row>
    <row r="219">
      <c r="A219" s="9" t="s">
        <v>423</v>
      </c>
      <c r="B219" s="12">
        <v>3.0</v>
      </c>
      <c r="C219" s="12">
        <v>45.0</v>
      </c>
      <c r="D219" s="12">
        <v>0.0</v>
      </c>
      <c r="E219" s="9" t="s">
        <v>190</v>
      </c>
      <c r="F219" s="9" t="str">
        <f t="shared" si="2"/>
        <v>DIL01225</v>
      </c>
      <c r="G219" s="9"/>
    </row>
    <row r="220">
      <c r="A220" s="9" t="s">
        <v>426</v>
      </c>
      <c r="B220" s="12">
        <v>4.0</v>
      </c>
      <c r="C220" s="12">
        <v>60.0</v>
      </c>
      <c r="D220" s="12">
        <v>30.0</v>
      </c>
      <c r="E220" s="9" t="s">
        <v>190</v>
      </c>
      <c r="F220" s="9" t="str">
        <f t="shared" si="2"/>
        <v>DIL01085</v>
      </c>
      <c r="G220" s="9"/>
    </row>
    <row r="221">
      <c r="A221" s="9" t="s">
        <v>427</v>
      </c>
      <c r="B221" s="12">
        <v>4.0</v>
      </c>
      <c r="C221" s="12">
        <v>60.0</v>
      </c>
      <c r="D221" s="12">
        <v>6.0</v>
      </c>
      <c r="E221" s="9" t="s">
        <v>190</v>
      </c>
      <c r="F221" s="9" t="str">
        <f t="shared" si="2"/>
        <v>DIL01342</v>
      </c>
      <c r="G221" s="9"/>
    </row>
    <row r="222">
      <c r="A222" s="9" t="s">
        <v>432</v>
      </c>
      <c r="B222" s="12">
        <v>2.0</v>
      </c>
      <c r="C222" s="12">
        <v>30.0</v>
      </c>
      <c r="D222" s="12">
        <v>0.0</v>
      </c>
      <c r="E222" s="9" t="s">
        <v>190</v>
      </c>
      <c r="F222" s="9" t="str">
        <f t="shared" si="2"/>
        <v>DIL01181</v>
      </c>
      <c r="G222" s="9"/>
    </row>
    <row r="223">
      <c r="A223" s="9" t="s">
        <v>433</v>
      </c>
      <c r="B223" s="12">
        <v>2.0</v>
      </c>
      <c r="C223" s="12">
        <v>30.0</v>
      </c>
      <c r="D223" s="12">
        <v>0.0</v>
      </c>
      <c r="E223" s="9" t="s">
        <v>190</v>
      </c>
      <c r="F223" s="9" t="str">
        <f t="shared" si="2"/>
        <v>DIL01185</v>
      </c>
      <c r="G223" s="9"/>
    </row>
    <row r="224">
      <c r="A224" s="9" t="s">
        <v>435</v>
      </c>
      <c r="B224" s="12">
        <v>2.0</v>
      </c>
      <c r="C224" s="12">
        <v>30.0</v>
      </c>
      <c r="D224" s="12">
        <v>0.0</v>
      </c>
      <c r="E224" s="9" t="s">
        <v>190</v>
      </c>
      <c r="F224" s="9" t="str">
        <f t="shared" si="2"/>
        <v>DIL01189</v>
      </c>
      <c r="G224" s="9"/>
    </row>
    <row r="225">
      <c r="A225" s="9" t="s">
        <v>437</v>
      </c>
      <c r="B225" s="12">
        <v>2.0</v>
      </c>
      <c r="C225" s="12">
        <v>30.0</v>
      </c>
      <c r="D225" s="12">
        <v>0.0</v>
      </c>
      <c r="E225" s="9" t="s">
        <v>190</v>
      </c>
      <c r="F225" s="9" t="str">
        <f t="shared" si="2"/>
        <v>DIL01287</v>
      </c>
      <c r="G225" s="9"/>
    </row>
    <row r="226">
      <c r="A226" s="9" t="s">
        <v>438</v>
      </c>
      <c r="B226" s="12">
        <v>4.0</v>
      </c>
      <c r="C226" s="12">
        <v>60.0</v>
      </c>
      <c r="D226" s="12">
        <v>6.0</v>
      </c>
      <c r="E226" s="9" t="s">
        <v>190</v>
      </c>
      <c r="F226" s="9" t="str">
        <f t="shared" si="2"/>
        <v>DIL01076</v>
      </c>
      <c r="G226" s="9"/>
    </row>
    <row r="227">
      <c r="A227" s="9" t="s">
        <v>440</v>
      </c>
      <c r="B227" s="12">
        <v>4.0</v>
      </c>
      <c r="C227" s="12">
        <v>60.0</v>
      </c>
      <c r="D227" s="12">
        <v>6.0</v>
      </c>
      <c r="E227" s="9" t="s">
        <v>190</v>
      </c>
      <c r="F227" s="9" t="str">
        <f t="shared" si="2"/>
        <v>DIL01060</v>
      </c>
      <c r="G227" s="9"/>
    </row>
    <row r="228">
      <c r="A228" s="9" t="s">
        <v>444</v>
      </c>
      <c r="B228" s="12">
        <v>4.0</v>
      </c>
      <c r="C228" s="12">
        <v>60.0</v>
      </c>
      <c r="D228" s="12">
        <v>0.0</v>
      </c>
      <c r="E228" s="9" t="s">
        <v>190</v>
      </c>
      <c r="F228" s="9" t="str">
        <f t="shared" si="2"/>
        <v>DIL01100</v>
      </c>
      <c r="G228" s="9"/>
    </row>
    <row r="229">
      <c r="A229" s="9" t="s">
        <v>445</v>
      </c>
      <c r="B229" s="12">
        <v>3.0</v>
      </c>
      <c r="C229" s="12">
        <v>45.0</v>
      </c>
      <c r="D229" s="12">
        <v>0.0</v>
      </c>
      <c r="E229" s="9" t="s">
        <v>190</v>
      </c>
      <c r="F229" s="9" t="str">
        <f t="shared" si="2"/>
        <v>DIL01075</v>
      </c>
      <c r="G229" s="9"/>
    </row>
    <row r="230">
      <c r="A230" s="9" t="s">
        <v>448</v>
      </c>
      <c r="B230" s="12">
        <v>150.0</v>
      </c>
      <c r="C230" s="12">
        <v>0.0</v>
      </c>
      <c r="D230" s="9"/>
      <c r="E230" s="9"/>
      <c r="F230" s="9" t="str">
        <f t="shared" si="2"/>
        <v>TRABALHO</v>
      </c>
      <c r="G230" s="9"/>
    </row>
    <row r="231">
      <c r="A231" s="9" t="s">
        <v>449</v>
      </c>
      <c r="B231" s="9" t="s">
        <v>97</v>
      </c>
      <c r="C231" s="12">
        <v>0.0</v>
      </c>
      <c r="D231" s="12">
        <v>0.0</v>
      </c>
      <c r="E231" s="9"/>
      <c r="F231" s="9" t="str">
        <f t="shared" si="2"/>
        <v>DIL01092</v>
      </c>
      <c r="G231" s="9"/>
    </row>
    <row r="232">
      <c r="A232" s="9"/>
      <c r="B232" s="9"/>
      <c r="C232" s="9"/>
      <c r="D232" s="9"/>
      <c r="E232" s="9"/>
      <c r="F232" s="9"/>
      <c r="G232" s="9"/>
    </row>
    <row r="233">
      <c r="A233" s="9" t="s">
        <v>452</v>
      </c>
      <c r="B233" s="9"/>
      <c r="C233" s="9"/>
      <c r="D233" s="9"/>
      <c r="E233" s="9"/>
      <c r="F233" s="9"/>
      <c r="G233" s="9"/>
    </row>
    <row r="234">
      <c r="A234" s="9" t="s">
        <v>454</v>
      </c>
      <c r="B234" s="9"/>
      <c r="C234" s="9"/>
      <c r="D234" s="9"/>
      <c r="E234" s="9"/>
      <c r="F234" s="9"/>
      <c r="G234" s="9"/>
    </row>
    <row r="235">
      <c r="A235" s="9" t="s">
        <v>455</v>
      </c>
      <c r="B235" s="9"/>
      <c r="C235" s="9"/>
      <c r="D235" s="9"/>
      <c r="E235" s="9"/>
      <c r="F235" s="9"/>
      <c r="G235" s="9"/>
    </row>
    <row r="236">
      <c r="A236" s="9" t="s">
        <v>457</v>
      </c>
      <c r="B236" s="9"/>
      <c r="C236" s="9"/>
      <c r="D236" s="9"/>
      <c r="E236" s="9"/>
      <c r="F236" s="9"/>
      <c r="G236" s="9"/>
    </row>
    <row r="237">
      <c r="A237" s="9"/>
      <c r="B237" s="9"/>
      <c r="C237" s="9"/>
      <c r="D237" s="9"/>
      <c r="E237" s="9"/>
      <c r="F237" s="9"/>
      <c r="G237" s="9"/>
    </row>
    <row r="238">
      <c r="A238" s="9"/>
      <c r="B238" s="9"/>
      <c r="C238" s="9"/>
      <c r="D238" s="9"/>
      <c r="E238" s="9"/>
      <c r="F238" s="9"/>
      <c r="G238" s="9"/>
    </row>
    <row r="239">
      <c r="A239" s="9"/>
      <c r="B239" s="9"/>
      <c r="C239" s="9"/>
      <c r="D239" s="9"/>
      <c r="E239" s="9"/>
      <c r="F239" s="9"/>
      <c r="G239" s="9"/>
    </row>
    <row r="240">
      <c r="A240" s="9"/>
      <c r="B240" s="9"/>
      <c r="C240" s="9"/>
      <c r="D240" s="9"/>
      <c r="E240" s="9"/>
      <c r="F240" s="9"/>
      <c r="G240" s="9"/>
    </row>
    <row r="241">
      <c r="A241" s="9"/>
      <c r="B241" s="9"/>
      <c r="C241" s="9"/>
      <c r="D241" s="9"/>
      <c r="E241" s="9"/>
      <c r="F241" s="9"/>
      <c r="G241" s="9"/>
    </row>
    <row r="242">
      <c r="A242" s="9"/>
      <c r="B242" s="9"/>
      <c r="C242" s="9"/>
      <c r="D242" s="9"/>
      <c r="E242" s="9"/>
      <c r="F242" s="9"/>
      <c r="G242" s="9"/>
    </row>
    <row r="243">
      <c r="A243" s="9"/>
      <c r="B243" s="9"/>
      <c r="C243" s="9"/>
      <c r="D243" s="9"/>
      <c r="E243" s="9"/>
      <c r="F243" s="9"/>
      <c r="G243" s="9"/>
    </row>
    <row r="244">
      <c r="A244" s="9"/>
      <c r="B244" s="9"/>
      <c r="C244" s="9"/>
      <c r="D244" s="9"/>
      <c r="E244" s="9"/>
      <c r="F244" s="9"/>
      <c r="G244" s="9"/>
    </row>
    <row r="245">
      <c r="A245" s="9"/>
      <c r="B245" s="9"/>
      <c r="C245" s="9"/>
      <c r="D245" s="9"/>
      <c r="E245" s="9"/>
      <c r="F245" s="9"/>
      <c r="G245" s="9"/>
    </row>
    <row r="246">
      <c r="A246" s="9"/>
      <c r="B246" s="9"/>
      <c r="C246" s="9"/>
      <c r="D246" s="9"/>
      <c r="E246" s="9"/>
      <c r="F246" s="9"/>
      <c r="G246" s="9"/>
    </row>
    <row r="247">
      <c r="A247" s="9"/>
      <c r="B247" s="9"/>
      <c r="C247" s="9"/>
      <c r="D247" s="9"/>
      <c r="E247" s="9"/>
      <c r="F247" s="9"/>
      <c r="G247" s="9"/>
    </row>
    <row r="248">
      <c r="A248" s="9"/>
      <c r="B248" s="9"/>
      <c r="C248" s="9"/>
      <c r="D248" s="9"/>
      <c r="E248" s="9"/>
      <c r="F248" s="9"/>
      <c r="G248" s="9"/>
    </row>
    <row r="249">
      <c r="A249" s="9"/>
      <c r="B249" s="9"/>
      <c r="C249" s="9"/>
      <c r="D249" s="9"/>
      <c r="E249" s="9"/>
      <c r="F249" s="9"/>
      <c r="G249" s="9"/>
    </row>
    <row r="250">
      <c r="A250" s="9"/>
      <c r="B250" s="9"/>
      <c r="C250" s="9"/>
      <c r="D250" s="9"/>
      <c r="E250" s="9"/>
      <c r="F250" s="9"/>
      <c r="G250" s="9"/>
    </row>
    <row r="251">
      <c r="A251" s="9"/>
      <c r="B251" s="9"/>
      <c r="C251" s="9"/>
      <c r="D251" s="9"/>
      <c r="E251" s="9"/>
      <c r="F251" s="9"/>
      <c r="G251" s="9"/>
    </row>
    <row r="252">
      <c r="A252" s="9"/>
      <c r="B252" s="9"/>
      <c r="C252" s="9"/>
      <c r="D252" s="9"/>
      <c r="E252" s="9"/>
      <c r="F252" s="9"/>
      <c r="G252" s="9"/>
    </row>
    <row r="253">
      <c r="A253" s="9"/>
      <c r="B253" s="9"/>
      <c r="C253" s="9"/>
      <c r="D253" s="9"/>
      <c r="E253" s="9"/>
      <c r="F253" s="9"/>
      <c r="G253" s="9"/>
    </row>
    <row r="254">
      <c r="A254" s="9"/>
      <c r="B254" s="9"/>
      <c r="C254" s="9"/>
      <c r="D254" s="9"/>
      <c r="E254" s="9"/>
      <c r="F254" s="9"/>
      <c r="G254" s="9"/>
    </row>
    <row r="255">
      <c r="A255" s="9"/>
      <c r="B255" s="9"/>
      <c r="C255" s="9"/>
      <c r="D255" s="9"/>
      <c r="E255" s="9"/>
      <c r="F255" s="9"/>
      <c r="G255" s="9"/>
    </row>
    <row r="256">
      <c r="A256" s="9"/>
      <c r="B256" s="9"/>
      <c r="C256" s="9"/>
      <c r="D256" s="9"/>
      <c r="E256" s="9"/>
      <c r="F256" s="9"/>
      <c r="G256" s="9"/>
    </row>
    <row r="257">
      <c r="A257" s="9"/>
      <c r="B257" s="9"/>
      <c r="C257" s="9"/>
      <c r="D257" s="9"/>
      <c r="E257" s="9"/>
      <c r="F257" s="9"/>
      <c r="G257" s="9"/>
    </row>
    <row r="258">
      <c r="A258" s="9"/>
      <c r="B258" s="9"/>
      <c r="C258" s="9"/>
      <c r="D258" s="9"/>
      <c r="E258" s="9"/>
      <c r="F258" s="9"/>
      <c r="G258" s="9"/>
    </row>
    <row r="259">
      <c r="A259" s="9"/>
      <c r="B259" s="9"/>
      <c r="C259" s="9"/>
      <c r="D259" s="9"/>
      <c r="E259" s="9"/>
      <c r="F259" s="9"/>
      <c r="G259" s="9"/>
    </row>
    <row r="260">
      <c r="A260" s="9"/>
      <c r="B260" s="9"/>
      <c r="C260" s="9"/>
      <c r="D260" s="9"/>
      <c r="E260" s="9"/>
      <c r="F260" s="9"/>
      <c r="G260" s="9"/>
    </row>
    <row r="261">
      <c r="A261" s="9"/>
      <c r="B261" s="9"/>
      <c r="C261" s="9"/>
      <c r="D261" s="9"/>
      <c r="E261" s="9"/>
      <c r="F261" s="9"/>
      <c r="G261" s="9"/>
    </row>
    <row r="262">
      <c r="A262" s="9"/>
      <c r="B262" s="9"/>
      <c r="C262" s="9"/>
      <c r="D262" s="9"/>
      <c r="E262" s="9"/>
      <c r="F262" s="9"/>
      <c r="G262" s="9"/>
    </row>
    <row r="263">
      <c r="A263" s="9"/>
      <c r="B263" s="9"/>
      <c r="C263" s="9"/>
      <c r="D263" s="9"/>
      <c r="E263" s="9"/>
      <c r="F263" s="9"/>
      <c r="G263" s="9"/>
    </row>
    <row r="264">
      <c r="A264" s="9"/>
      <c r="B264" s="9"/>
      <c r="C264" s="9"/>
      <c r="D264" s="9"/>
      <c r="E264" s="9"/>
      <c r="F264" s="9"/>
      <c r="G264" s="9"/>
    </row>
    <row r="265">
      <c r="A265" s="9"/>
      <c r="B265" s="9"/>
      <c r="C265" s="9"/>
      <c r="D265" s="9"/>
      <c r="E265" s="9"/>
      <c r="F265" s="9"/>
      <c r="G265" s="9"/>
    </row>
    <row r="266">
      <c r="A266" s="9"/>
      <c r="B266" s="9"/>
      <c r="C266" s="9"/>
      <c r="D266" s="9"/>
      <c r="E266" s="9"/>
      <c r="F266" s="9"/>
      <c r="G266" s="9"/>
    </row>
    <row r="267">
      <c r="A267" s="9"/>
      <c r="B267" s="9"/>
      <c r="C267" s="9"/>
      <c r="D267" s="9"/>
      <c r="E267" s="9"/>
      <c r="F267" s="9"/>
      <c r="G267" s="9"/>
    </row>
    <row r="268">
      <c r="A268" s="9"/>
      <c r="B268" s="9"/>
      <c r="C268" s="9"/>
      <c r="D268" s="9"/>
      <c r="E268" s="9"/>
      <c r="F268" s="9"/>
      <c r="G268" s="9"/>
    </row>
    <row r="269">
      <c r="A269" s="9"/>
      <c r="B269" s="9"/>
      <c r="C269" s="9"/>
      <c r="D269" s="9"/>
      <c r="E269" s="9"/>
      <c r="F269" s="9"/>
      <c r="G269" s="9"/>
    </row>
    <row r="270">
      <c r="A270" s="9"/>
      <c r="B270" s="9"/>
      <c r="C270" s="9"/>
      <c r="D270" s="9"/>
      <c r="E270" s="9"/>
      <c r="F270" s="9"/>
      <c r="G270" s="9"/>
    </row>
    <row r="271">
      <c r="A271" s="9"/>
      <c r="B271" s="9"/>
      <c r="C271" s="9"/>
      <c r="D271" s="9"/>
      <c r="E271" s="9"/>
      <c r="F271" s="9"/>
      <c r="G271" s="9"/>
    </row>
    <row r="272">
      <c r="A272" s="9"/>
      <c r="B272" s="9"/>
      <c r="C272" s="9"/>
      <c r="D272" s="9"/>
      <c r="E272" s="9"/>
      <c r="F272" s="9"/>
      <c r="G272" s="9"/>
    </row>
    <row r="273">
      <c r="A273" s="9"/>
      <c r="B273" s="9"/>
      <c r="C273" s="9"/>
      <c r="D273" s="9"/>
      <c r="E273" s="9"/>
      <c r="F273" s="9"/>
      <c r="G273" s="9"/>
    </row>
    <row r="274">
      <c r="A274" s="9"/>
      <c r="B274" s="9"/>
      <c r="C274" s="9"/>
      <c r="D274" s="9"/>
      <c r="E274" s="9"/>
      <c r="F274" s="9"/>
      <c r="G274" s="9"/>
    </row>
    <row r="275">
      <c r="A275" s="9"/>
      <c r="B275" s="9"/>
      <c r="C275" s="9"/>
      <c r="D275" s="9"/>
      <c r="E275" s="9"/>
      <c r="F275" s="9"/>
      <c r="G275" s="9"/>
    </row>
    <row r="276">
      <c r="A276" s="9"/>
      <c r="B276" s="9"/>
      <c r="C276" s="9"/>
      <c r="D276" s="9"/>
      <c r="E276" s="9"/>
      <c r="F276" s="9"/>
      <c r="G276" s="9"/>
    </row>
    <row r="277">
      <c r="A277" s="9"/>
      <c r="B277" s="9"/>
      <c r="C277" s="9"/>
      <c r="D277" s="9"/>
      <c r="E277" s="9"/>
      <c r="F277" s="9"/>
      <c r="G277" s="9"/>
    </row>
    <row r="278">
      <c r="A278" s="9"/>
      <c r="B278" s="9"/>
      <c r="C278" s="9"/>
      <c r="D278" s="9"/>
      <c r="E278" s="9"/>
      <c r="F278" s="9"/>
      <c r="G278" s="9"/>
    </row>
    <row r="279">
      <c r="A279" s="9"/>
      <c r="B279" s="9"/>
      <c r="C279" s="9"/>
      <c r="D279" s="9"/>
      <c r="E279" s="9"/>
      <c r="F279" s="9"/>
      <c r="G279" s="9"/>
    </row>
    <row r="280">
      <c r="A280" s="9"/>
      <c r="B280" s="9"/>
      <c r="C280" s="9"/>
      <c r="D280" s="9"/>
      <c r="E280" s="9"/>
      <c r="F280" s="9"/>
      <c r="G280" s="9"/>
    </row>
    <row r="281">
      <c r="A281" s="9"/>
      <c r="B281" s="9"/>
      <c r="C281" s="9"/>
      <c r="D281" s="9"/>
      <c r="E281" s="9"/>
      <c r="F281" s="9"/>
      <c r="G281" s="9"/>
    </row>
    <row r="282">
      <c r="A282" s="9"/>
      <c r="B282" s="9"/>
      <c r="C282" s="9"/>
      <c r="D282" s="9"/>
      <c r="E282" s="9"/>
      <c r="F282" s="9"/>
      <c r="G282" s="9"/>
    </row>
    <row r="283">
      <c r="A283" s="9"/>
      <c r="B283" s="9"/>
      <c r="C283" s="9"/>
      <c r="D283" s="9"/>
      <c r="E283" s="9"/>
      <c r="F283" s="9"/>
      <c r="G283" s="9"/>
    </row>
    <row r="284">
      <c r="A284" s="9"/>
      <c r="B284" s="9"/>
      <c r="C284" s="9"/>
      <c r="D284" s="9"/>
      <c r="E284" s="9"/>
      <c r="F284" s="9"/>
      <c r="G284" s="9"/>
    </row>
    <row r="285">
      <c r="A285" s="9"/>
      <c r="B285" s="9"/>
      <c r="C285" s="9"/>
      <c r="D285" s="9"/>
      <c r="E285" s="9"/>
      <c r="F285" s="9"/>
      <c r="G285" s="9"/>
    </row>
    <row r="286">
      <c r="A286" s="9"/>
      <c r="B286" s="9"/>
      <c r="C286" s="9"/>
      <c r="D286" s="9"/>
      <c r="E286" s="9"/>
      <c r="F286" s="9"/>
      <c r="G286" s="9"/>
    </row>
    <row r="287">
      <c r="A287" s="9"/>
      <c r="B287" s="9"/>
      <c r="C287" s="9"/>
      <c r="D287" s="9"/>
      <c r="E287" s="9"/>
      <c r="F287" s="9"/>
      <c r="G287" s="9"/>
    </row>
    <row r="288">
      <c r="A288" s="9"/>
      <c r="B288" s="9"/>
      <c r="C288" s="9"/>
      <c r="D288" s="9"/>
      <c r="E288" s="9"/>
      <c r="F288" s="9"/>
      <c r="G288" s="9"/>
    </row>
    <row r="289">
      <c r="A289" s="9"/>
      <c r="B289" s="9"/>
      <c r="C289" s="9"/>
      <c r="D289" s="9"/>
      <c r="E289" s="9"/>
      <c r="F289" s="9"/>
      <c r="G289" s="9"/>
    </row>
    <row r="290">
      <c r="A290" s="9"/>
      <c r="B290" s="9"/>
      <c r="C290" s="9"/>
      <c r="D290" s="9"/>
      <c r="E290" s="9"/>
      <c r="F290" s="9"/>
      <c r="G290" s="9"/>
    </row>
    <row r="291">
      <c r="A291" s="9"/>
      <c r="B291" s="9"/>
      <c r="C291" s="9"/>
      <c r="D291" s="9"/>
      <c r="E291" s="9"/>
      <c r="F291" s="9"/>
      <c r="G291" s="9"/>
    </row>
    <row r="292">
      <c r="A292" s="9"/>
      <c r="B292" s="9"/>
      <c r="C292" s="9"/>
      <c r="D292" s="9"/>
      <c r="E292" s="9"/>
      <c r="F292" s="9"/>
      <c r="G292" s="9"/>
    </row>
    <row r="293">
      <c r="A293" s="9"/>
      <c r="B293" s="9"/>
      <c r="C293" s="9"/>
      <c r="D293" s="9"/>
      <c r="E293" s="9"/>
      <c r="F293" s="9"/>
      <c r="G293" s="9"/>
    </row>
    <row r="294">
      <c r="A294" s="9"/>
      <c r="B294" s="9"/>
      <c r="C294" s="9"/>
      <c r="D294" s="9"/>
      <c r="E294" s="9"/>
      <c r="F294" s="9"/>
      <c r="G294" s="9"/>
    </row>
    <row r="295">
      <c r="A295" s="9"/>
      <c r="B295" s="9"/>
      <c r="C295" s="9"/>
      <c r="D295" s="9"/>
      <c r="E295" s="9"/>
      <c r="F295" s="9"/>
      <c r="G295" s="9"/>
    </row>
    <row r="296">
      <c r="A296" s="9"/>
      <c r="B296" s="9"/>
      <c r="C296" s="9"/>
      <c r="D296" s="9"/>
      <c r="E296" s="9"/>
      <c r="F296" s="9"/>
      <c r="G296" s="9"/>
    </row>
    <row r="297">
      <c r="A297" s="9"/>
      <c r="B297" s="9"/>
      <c r="C297" s="9"/>
      <c r="D297" s="9"/>
      <c r="E297" s="9"/>
      <c r="F297" s="9"/>
      <c r="G297" s="9"/>
    </row>
    <row r="298">
      <c r="A298" s="9"/>
      <c r="B298" s="9"/>
      <c r="C298" s="9"/>
      <c r="D298" s="9"/>
      <c r="E298" s="9"/>
      <c r="F298" s="9"/>
      <c r="G298" s="9"/>
    </row>
    <row r="299">
      <c r="A299" s="9"/>
      <c r="B299" s="9"/>
      <c r="C299" s="9"/>
      <c r="D299" s="9"/>
      <c r="E299" s="9"/>
      <c r="F299" s="9"/>
      <c r="G299" s="9"/>
    </row>
    <row r="300">
      <c r="A300" s="9"/>
      <c r="B300" s="9"/>
      <c r="C300" s="9"/>
      <c r="D300" s="9"/>
      <c r="E300" s="9"/>
      <c r="F300" s="9"/>
      <c r="G300" s="9"/>
    </row>
    <row r="301">
      <c r="A301" s="9"/>
      <c r="B301" s="9"/>
      <c r="C301" s="9"/>
      <c r="D301" s="9"/>
      <c r="E301" s="9"/>
      <c r="F301" s="9"/>
      <c r="G301" s="9"/>
    </row>
    <row r="302">
      <c r="A302" s="9"/>
      <c r="B302" s="9"/>
      <c r="C302" s="9"/>
      <c r="D302" s="9"/>
      <c r="E302" s="9"/>
      <c r="F302" s="9"/>
      <c r="G302" s="9"/>
    </row>
    <row r="303">
      <c r="A303" s="9"/>
      <c r="B303" s="9"/>
      <c r="C303" s="9"/>
      <c r="D303" s="9"/>
      <c r="E303" s="9"/>
      <c r="F303" s="9"/>
      <c r="G303" s="9"/>
    </row>
    <row r="304">
      <c r="A304" s="9"/>
      <c r="B304" s="9"/>
      <c r="C304" s="9"/>
      <c r="D304" s="9"/>
      <c r="E304" s="9"/>
      <c r="F304" s="9"/>
      <c r="G304" s="9"/>
    </row>
    <row r="305">
      <c r="A305" s="9"/>
      <c r="B305" s="9"/>
      <c r="C305" s="9"/>
      <c r="D305" s="9"/>
      <c r="E305" s="9"/>
      <c r="F305" s="9"/>
      <c r="G305" s="9"/>
    </row>
    <row r="306">
      <c r="A306" s="9"/>
      <c r="B306" s="9"/>
      <c r="C306" s="9"/>
      <c r="D306" s="9"/>
      <c r="E306" s="9"/>
      <c r="F306" s="9"/>
      <c r="G306" s="9"/>
    </row>
    <row r="307">
      <c r="A307" s="9"/>
      <c r="B307" s="9"/>
      <c r="C307" s="9"/>
      <c r="D307" s="9"/>
      <c r="E307" s="9"/>
      <c r="F307" s="9"/>
      <c r="G307" s="9"/>
    </row>
    <row r="308">
      <c r="A308" s="9"/>
      <c r="B308" s="9"/>
      <c r="C308" s="9"/>
      <c r="D308" s="9"/>
      <c r="E308" s="9"/>
      <c r="F308" s="9"/>
      <c r="G308" s="9"/>
    </row>
    <row r="309">
      <c r="A309" s="9"/>
      <c r="B309" s="9"/>
      <c r="C309" s="9"/>
      <c r="D309" s="9"/>
      <c r="E309" s="9"/>
      <c r="F309" s="9"/>
      <c r="G309" s="9"/>
    </row>
    <row r="310">
      <c r="A310" s="9"/>
      <c r="B310" s="9"/>
      <c r="C310" s="9"/>
      <c r="D310" s="9"/>
      <c r="E310" s="9"/>
      <c r="F310" s="9"/>
      <c r="G310" s="9"/>
    </row>
    <row r="311">
      <c r="A311" s="9"/>
      <c r="B311" s="9"/>
      <c r="C311" s="9"/>
      <c r="D311" s="9"/>
      <c r="E311" s="9"/>
      <c r="F311" s="9"/>
      <c r="G311" s="9"/>
    </row>
    <row r="312">
      <c r="A312" s="9"/>
      <c r="B312" s="9"/>
      <c r="C312" s="9"/>
      <c r="D312" s="9"/>
      <c r="E312" s="9"/>
      <c r="F312" s="9"/>
      <c r="G312" s="9"/>
    </row>
    <row r="313">
      <c r="A313" s="9"/>
      <c r="B313" s="9"/>
      <c r="C313" s="9"/>
      <c r="D313" s="9"/>
      <c r="E313" s="9"/>
      <c r="F313" s="9"/>
      <c r="G313" s="9"/>
    </row>
    <row r="314">
      <c r="A314" s="9"/>
      <c r="B314" s="9"/>
      <c r="C314" s="9"/>
      <c r="D314" s="9"/>
      <c r="E314" s="9"/>
      <c r="F314" s="9"/>
      <c r="G314" s="9"/>
    </row>
    <row r="315">
      <c r="A315" s="9"/>
      <c r="B315" s="9"/>
      <c r="C315" s="9"/>
      <c r="D315" s="9"/>
      <c r="E315" s="9"/>
      <c r="F315" s="9"/>
      <c r="G315" s="9"/>
    </row>
    <row r="316">
      <c r="A316" s="9"/>
      <c r="B316" s="9"/>
      <c r="C316" s="9"/>
      <c r="D316" s="9"/>
      <c r="E316" s="9"/>
      <c r="F316" s="9"/>
      <c r="G316" s="9"/>
    </row>
    <row r="317">
      <c r="A317" s="9"/>
      <c r="B317" s="9"/>
      <c r="C317" s="9"/>
      <c r="D317" s="9"/>
      <c r="E317" s="9"/>
      <c r="F317" s="9"/>
      <c r="G317" s="9"/>
    </row>
    <row r="318">
      <c r="A318" s="9"/>
      <c r="B318" s="9"/>
      <c r="C318" s="9"/>
      <c r="D318" s="9"/>
      <c r="E318" s="9"/>
      <c r="F318" s="9"/>
      <c r="G318" s="9"/>
    </row>
    <row r="319">
      <c r="A319" s="9"/>
      <c r="B319" s="9"/>
      <c r="C319" s="9"/>
      <c r="D319" s="9"/>
      <c r="E319" s="9"/>
      <c r="F319" s="9"/>
      <c r="G319" s="9"/>
    </row>
    <row r="320">
      <c r="A320" s="9"/>
      <c r="B320" s="9"/>
      <c r="C320" s="9"/>
      <c r="D320" s="9"/>
      <c r="E320" s="9"/>
      <c r="F320" s="9"/>
      <c r="G320" s="9"/>
    </row>
    <row r="321">
      <c r="A321" s="9"/>
      <c r="B321" s="9"/>
      <c r="C321" s="9"/>
      <c r="D321" s="9"/>
      <c r="E321" s="9"/>
      <c r="F321" s="9"/>
      <c r="G321" s="9"/>
    </row>
    <row r="322">
      <c r="A322" s="9"/>
      <c r="B322" s="9"/>
      <c r="C322" s="9"/>
      <c r="D322" s="9"/>
      <c r="E322" s="9"/>
      <c r="F322" s="9"/>
      <c r="G322" s="9"/>
    </row>
    <row r="323">
      <c r="A323" s="9"/>
      <c r="B323" s="9"/>
      <c r="C323" s="9"/>
      <c r="D323" s="9"/>
      <c r="E323" s="9"/>
      <c r="F323" s="9"/>
      <c r="G323" s="9"/>
    </row>
    <row r="324">
      <c r="A324" s="9"/>
      <c r="B324" s="9"/>
      <c r="C324" s="9"/>
      <c r="D324" s="9"/>
      <c r="E324" s="9"/>
      <c r="F324" s="9"/>
      <c r="G324" s="9"/>
    </row>
    <row r="325">
      <c r="A325" s="9"/>
      <c r="B325" s="9"/>
      <c r="C325" s="9"/>
      <c r="D325" s="9"/>
      <c r="E325" s="9"/>
      <c r="F325" s="9"/>
      <c r="G325" s="9"/>
    </row>
    <row r="326">
      <c r="A326" s="9"/>
      <c r="B326" s="9"/>
      <c r="C326" s="9"/>
      <c r="D326" s="9"/>
      <c r="E326" s="9"/>
      <c r="F326" s="9"/>
      <c r="G326" s="9"/>
    </row>
    <row r="327">
      <c r="A327" s="9"/>
      <c r="B327" s="9"/>
      <c r="C327" s="9"/>
      <c r="D327" s="9"/>
      <c r="E327" s="9"/>
      <c r="F327" s="9"/>
      <c r="G327" s="9"/>
    </row>
    <row r="328">
      <c r="A328" s="9"/>
      <c r="B328" s="9"/>
      <c r="C328" s="9"/>
      <c r="D328" s="9"/>
      <c r="E328" s="9"/>
      <c r="F328" s="9"/>
      <c r="G328" s="9"/>
    </row>
    <row r="329">
      <c r="A329" s="9"/>
      <c r="B329" s="9"/>
      <c r="C329" s="9"/>
      <c r="D329" s="9"/>
      <c r="E329" s="9"/>
      <c r="F329" s="9"/>
      <c r="G329" s="9"/>
    </row>
    <row r="330">
      <c r="A330" s="9"/>
      <c r="B330" s="9"/>
      <c r="C330" s="9"/>
      <c r="D330" s="9"/>
      <c r="E330" s="9"/>
      <c r="F330" s="9"/>
      <c r="G330" s="9"/>
    </row>
    <row r="331">
      <c r="A331" s="9"/>
      <c r="B331" s="9"/>
      <c r="C331" s="9"/>
      <c r="D331" s="9"/>
      <c r="E331" s="9"/>
      <c r="F331" s="9"/>
      <c r="G331" s="9"/>
    </row>
    <row r="332">
      <c r="A332" s="9"/>
      <c r="B332" s="9"/>
      <c r="C332" s="9"/>
      <c r="D332" s="9"/>
      <c r="E332" s="9"/>
      <c r="F332" s="9"/>
      <c r="G332" s="9"/>
    </row>
    <row r="333">
      <c r="A333" s="9"/>
      <c r="B333" s="9"/>
      <c r="C333" s="9"/>
      <c r="D333" s="9"/>
      <c r="E333" s="9"/>
      <c r="F333" s="9"/>
      <c r="G333" s="9"/>
    </row>
    <row r="334">
      <c r="A334" s="9"/>
      <c r="B334" s="9"/>
      <c r="C334" s="9"/>
      <c r="D334" s="9"/>
      <c r="E334" s="9"/>
      <c r="F334" s="9"/>
      <c r="G334" s="9"/>
    </row>
    <row r="335">
      <c r="A335" s="9"/>
      <c r="B335" s="9"/>
      <c r="C335" s="9"/>
      <c r="D335" s="9"/>
      <c r="E335" s="9"/>
      <c r="F335" s="9"/>
      <c r="G335" s="9"/>
    </row>
    <row r="336">
      <c r="A336" s="9"/>
      <c r="B336" s="9"/>
      <c r="C336" s="9"/>
      <c r="D336" s="9"/>
      <c r="E336" s="9"/>
      <c r="F336" s="9"/>
      <c r="G336" s="9"/>
    </row>
    <row r="337">
      <c r="A337" s="9"/>
      <c r="B337" s="9"/>
      <c r="C337" s="9"/>
      <c r="D337" s="9"/>
      <c r="E337" s="9"/>
      <c r="F337" s="9"/>
      <c r="G337" s="9"/>
    </row>
    <row r="338">
      <c r="A338" s="9"/>
      <c r="B338" s="9"/>
      <c r="C338" s="9"/>
      <c r="D338" s="9"/>
      <c r="E338" s="9"/>
      <c r="F338" s="9"/>
      <c r="G338" s="9"/>
    </row>
    <row r="339">
      <c r="A339" s="9"/>
      <c r="B339" s="9"/>
      <c r="C339" s="9"/>
      <c r="D339" s="9"/>
      <c r="E339" s="9"/>
      <c r="F339" s="9"/>
      <c r="G339" s="9"/>
    </row>
    <row r="340">
      <c r="A340" s="9"/>
      <c r="B340" s="9"/>
      <c r="C340" s="9"/>
      <c r="D340" s="9"/>
      <c r="E340" s="9"/>
      <c r="F340" s="9"/>
      <c r="G340" s="9"/>
    </row>
    <row r="341">
      <c r="A341" s="9"/>
      <c r="B341" s="9"/>
      <c r="C341" s="9"/>
      <c r="D341" s="9"/>
      <c r="E341" s="9"/>
      <c r="F341" s="9"/>
      <c r="G341" s="9"/>
    </row>
    <row r="342">
      <c r="A342" s="9"/>
      <c r="B342" s="9"/>
      <c r="C342" s="9"/>
      <c r="D342" s="9"/>
      <c r="E342" s="9"/>
      <c r="F342" s="9"/>
      <c r="G342" s="9"/>
    </row>
    <row r="343">
      <c r="A343" s="9"/>
      <c r="B343" s="9"/>
      <c r="C343" s="9"/>
      <c r="D343" s="9"/>
      <c r="E343" s="9"/>
      <c r="F343" s="9"/>
      <c r="G343" s="9"/>
    </row>
    <row r="344">
      <c r="A344" s="9"/>
      <c r="B344" s="9"/>
      <c r="C344" s="9"/>
      <c r="D344" s="9"/>
      <c r="E344" s="9"/>
      <c r="F344" s="9"/>
      <c r="G344" s="9"/>
    </row>
    <row r="345">
      <c r="A345" s="9"/>
      <c r="B345" s="9"/>
      <c r="C345" s="9"/>
      <c r="D345" s="9"/>
      <c r="E345" s="9"/>
      <c r="F345" s="9"/>
      <c r="G345" s="9"/>
    </row>
    <row r="346">
      <c r="A346" s="9"/>
      <c r="B346" s="9"/>
      <c r="C346" s="9"/>
      <c r="D346" s="9"/>
      <c r="E346" s="9"/>
      <c r="F346" s="9"/>
      <c r="G346" s="9"/>
    </row>
    <row r="347">
      <c r="A347" s="9"/>
      <c r="B347" s="9"/>
      <c r="C347" s="9"/>
      <c r="D347" s="9"/>
      <c r="E347" s="9"/>
      <c r="F347" s="9"/>
      <c r="G347" s="9"/>
    </row>
    <row r="348">
      <c r="A348" s="9"/>
      <c r="B348" s="9"/>
      <c r="C348" s="9"/>
      <c r="D348" s="9"/>
      <c r="E348" s="9"/>
      <c r="F348" s="9"/>
      <c r="G348" s="9"/>
    </row>
    <row r="349">
      <c r="A349" s="9"/>
      <c r="B349" s="9"/>
      <c r="C349" s="9"/>
      <c r="D349" s="9"/>
      <c r="E349" s="9"/>
      <c r="F349" s="9"/>
      <c r="G349" s="9"/>
    </row>
    <row r="350">
      <c r="A350" s="9"/>
      <c r="B350" s="9"/>
      <c r="C350" s="9"/>
      <c r="D350" s="9"/>
      <c r="E350" s="9"/>
      <c r="F350" s="9"/>
      <c r="G350" s="9"/>
    </row>
    <row r="351">
      <c r="A351" s="9"/>
      <c r="B351" s="9"/>
      <c r="C351" s="9"/>
      <c r="D351" s="9"/>
      <c r="E351" s="9"/>
      <c r="F351" s="9"/>
      <c r="G351" s="9"/>
    </row>
    <row r="352">
      <c r="A352" s="9"/>
      <c r="B352" s="9"/>
      <c r="C352" s="9"/>
      <c r="D352" s="9"/>
      <c r="E352" s="9"/>
      <c r="F352" s="9"/>
      <c r="G352" s="9"/>
    </row>
    <row r="353">
      <c r="A353" s="9"/>
      <c r="B353" s="9"/>
      <c r="C353" s="9"/>
      <c r="D353" s="9"/>
      <c r="E353" s="9"/>
      <c r="F353" s="9"/>
      <c r="G353" s="9"/>
    </row>
    <row r="354">
      <c r="A354" s="9"/>
      <c r="B354" s="9"/>
      <c r="C354" s="9"/>
      <c r="D354" s="9"/>
      <c r="E354" s="9"/>
      <c r="F354" s="9"/>
      <c r="G354" s="9"/>
    </row>
    <row r="355">
      <c r="A355" s="9"/>
      <c r="B355" s="9"/>
      <c r="C355" s="9"/>
      <c r="D355" s="9"/>
      <c r="E355" s="9"/>
      <c r="F355" s="9"/>
      <c r="G355" s="9"/>
    </row>
    <row r="356">
      <c r="A356" s="9"/>
      <c r="B356" s="9"/>
      <c r="C356" s="9"/>
      <c r="D356" s="9"/>
      <c r="E356" s="9"/>
      <c r="F356" s="9"/>
      <c r="G356" s="9"/>
    </row>
    <row r="357">
      <c r="A357" s="9"/>
      <c r="B357" s="9"/>
      <c r="C357" s="9"/>
      <c r="D357" s="9"/>
      <c r="E357" s="9"/>
      <c r="F357" s="9"/>
      <c r="G357" s="9"/>
    </row>
    <row r="358">
      <c r="A358" s="9"/>
      <c r="B358" s="9"/>
      <c r="C358" s="9"/>
      <c r="D358" s="9"/>
      <c r="E358" s="9"/>
      <c r="F358" s="9"/>
      <c r="G358" s="9"/>
    </row>
    <row r="359">
      <c r="A359" s="9"/>
      <c r="B359" s="9"/>
      <c r="C359" s="9"/>
      <c r="D359" s="9"/>
      <c r="E359" s="9"/>
      <c r="F359" s="9"/>
      <c r="G359" s="9"/>
    </row>
    <row r="360">
      <c r="A360" s="9"/>
      <c r="B360" s="9"/>
      <c r="C360" s="9"/>
      <c r="D360" s="9"/>
      <c r="E360" s="9"/>
      <c r="F360" s="9"/>
      <c r="G360" s="9"/>
    </row>
    <row r="361">
      <c r="A361" s="9"/>
      <c r="B361" s="9"/>
      <c r="C361" s="9"/>
      <c r="D361" s="9"/>
      <c r="E361" s="9"/>
      <c r="F361" s="9"/>
      <c r="G361" s="9"/>
    </row>
    <row r="362">
      <c r="A362" s="9"/>
      <c r="B362" s="9"/>
      <c r="C362" s="9"/>
      <c r="D362" s="9"/>
      <c r="E362" s="9"/>
      <c r="F362" s="9"/>
      <c r="G362" s="9"/>
    </row>
    <row r="363">
      <c r="A363" s="9"/>
      <c r="B363" s="9"/>
      <c r="C363" s="9"/>
      <c r="D363" s="9"/>
      <c r="E363" s="9"/>
      <c r="F363" s="9"/>
      <c r="G363" s="9"/>
    </row>
    <row r="364">
      <c r="A364" s="9"/>
      <c r="B364" s="9"/>
      <c r="C364" s="9"/>
      <c r="D364" s="9"/>
      <c r="E364" s="9"/>
      <c r="F364" s="9"/>
      <c r="G364" s="9"/>
    </row>
    <row r="365">
      <c r="A365" s="9"/>
      <c r="B365" s="9"/>
      <c r="C365" s="9"/>
      <c r="D365" s="9"/>
      <c r="E365" s="9"/>
      <c r="F365" s="9"/>
      <c r="G365" s="9"/>
    </row>
    <row r="366">
      <c r="A366" s="9"/>
      <c r="B366" s="9"/>
      <c r="C366" s="9"/>
      <c r="D366" s="9"/>
      <c r="E366" s="9"/>
      <c r="F366" s="9"/>
      <c r="G366" s="9"/>
    </row>
    <row r="367">
      <c r="A367" s="9"/>
      <c r="B367" s="9"/>
      <c r="C367" s="9"/>
      <c r="D367" s="9"/>
      <c r="E367" s="9"/>
      <c r="F367" s="9"/>
      <c r="G367" s="9"/>
    </row>
    <row r="368">
      <c r="A368" s="9"/>
      <c r="B368" s="9"/>
      <c r="C368" s="9"/>
      <c r="D368" s="9"/>
      <c r="E368" s="9"/>
      <c r="F368" s="9"/>
      <c r="G368" s="9"/>
    </row>
    <row r="369">
      <c r="A369" s="9"/>
      <c r="B369" s="9"/>
      <c r="C369" s="9"/>
      <c r="D369" s="9"/>
      <c r="E369" s="9"/>
      <c r="F369" s="9"/>
      <c r="G369" s="9"/>
    </row>
    <row r="370">
      <c r="A370" s="9"/>
      <c r="B370" s="9"/>
      <c r="C370" s="9"/>
      <c r="D370" s="9"/>
      <c r="E370" s="9"/>
      <c r="F370" s="9"/>
      <c r="G370" s="9"/>
    </row>
    <row r="371">
      <c r="A371" s="9"/>
      <c r="B371" s="9"/>
      <c r="C371" s="9"/>
      <c r="D371" s="9"/>
      <c r="E371" s="9"/>
      <c r="F371" s="9"/>
      <c r="G371" s="9"/>
    </row>
    <row r="372">
      <c r="A372" s="9"/>
      <c r="B372" s="9"/>
      <c r="C372" s="9"/>
      <c r="D372" s="9"/>
      <c r="E372" s="9"/>
      <c r="F372" s="9"/>
      <c r="G372" s="9"/>
    </row>
    <row r="373">
      <c r="A373" s="9"/>
      <c r="B373" s="9"/>
      <c r="C373" s="9"/>
      <c r="D373" s="9"/>
      <c r="E373" s="9"/>
      <c r="F373" s="9"/>
      <c r="G373" s="9"/>
    </row>
    <row r="374">
      <c r="A374" s="9"/>
      <c r="B374" s="9"/>
      <c r="C374" s="9"/>
      <c r="D374" s="9"/>
      <c r="E374" s="9"/>
      <c r="F374" s="9"/>
      <c r="G374" s="9"/>
    </row>
    <row r="375">
      <c r="A375" s="9"/>
      <c r="B375" s="9"/>
      <c r="C375" s="9"/>
      <c r="D375" s="9"/>
      <c r="E375" s="9"/>
      <c r="F375" s="9"/>
      <c r="G375" s="9"/>
    </row>
    <row r="376">
      <c r="A376" s="9"/>
      <c r="B376" s="9"/>
      <c r="C376" s="9"/>
      <c r="D376" s="9"/>
      <c r="E376" s="9"/>
      <c r="F376" s="9"/>
      <c r="G376" s="9"/>
    </row>
    <row r="377">
      <c r="A377" s="9"/>
      <c r="B377" s="9"/>
      <c r="C377" s="9"/>
      <c r="D377" s="9"/>
      <c r="E377" s="9"/>
      <c r="F377" s="9"/>
      <c r="G377" s="9"/>
    </row>
    <row r="378">
      <c r="A378" s="9"/>
      <c r="B378" s="9"/>
      <c r="C378" s="9"/>
      <c r="D378" s="9"/>
      <c r="E378" s="9"/>
      <c r="F378" s="9"/>
      <c r="G378" s="9"/>
    </row>
    <row r="379">
      <c r="A379" s="9"/>
      <c r="B379" s="9"/>
      <c r="C379" s="9"/>
      <c r="D379" s="9"/>
      <c r="E379" s="9"/>
      <c r="F379" s="9"/>
      <c r="G379" s="9"/>
    </row>
    <row r="380">
      <c r="A380" s="9"/>
      <c r="B380" s="9"/>
      <c r="C380" s="9"/>
      <c r="D380" s="9"/>
      <c r="E380" s="9"/>
      <c r="F380" s="9"/>
      <c r="G380" s="9"/>
    </row>
    <row r="381">
      <c r="A381" s="9"/>
      <c r="B381" s="9"/>
      <c r="C381" s="9"/>
      <c r="D381" s="9"/>
      <c r="E381" s="9"/>
      <c r="F381" s="9"/>
      <c r="G381" s="9"/>
    </row>
    <row r="382">
      <c r="A382" s="9"/>
      <c r="B382" s="9"/>
      <c r="C382" s="9"/>
      <c r="D382" s="9"/>
      <c r="E382" s="9"/>
      <c r="F382" s="9"/>
      <c r="G382" s="9"/>
    </row>
    <row r="383">
      <c r="A383" s="9"/>
      <c r="B383" s="9"/>
      <c r="C383" s="9"/>
      <c r="D383" s="9"/>
      <c r="E383" s="9"/>
      <c r="F383" s="9"/>
      <c r="G383" s="9"/>
    </row>
    <row r="384">
      <c r="A384" s="9"/>
      <c r="B384" s="9"/>
      <c r="C384" s="9"/>
      <c r="D384" s="9"/>
      <c r="E384" s="9"/>
      <c r="F384" s="9"/>
      <c r="G384" s="9"/>
    </row>
    <row r="385">
      <c r="A385" s="9"/>
      <c r="B385" s="9"/>
      <c r="C385" s="9"/>
      <c r="D385" s="9"/>
      <c r="E385" s="9"/>
      <c r="F385" s="9"/>
      <c r="G385" s="9"/>
    </row>
    <row r="386">
      <c r="A386" s="9"/>
      <c r="B386" s="9"/>
      <c r="C386" s="9"/>
      <c r="D386" s="9"/>
      <c r="E386" s="9"/>
      <c r="F386" s="9"/>
      <c r="G386" s="9"/>
    </row>
    <row r="387">
      <c r="A387" s="9"/>
      <c r="B387" s="9"/>
      <c r="C387" s="9"/>
      <c r="D387" s="9"/>
      <c r="E387" s="9"/>
      <c r="F387" s="9"/>
      <c r="G387" s="9"/>
    </row>
    <row r="388">
      <c r="A388" s="9"/>
      <c r="B388" s="9"/>
      <c r="C388" s="9"/>
      <c r="D388" s="9"/>
      <c r="E388" s="9"/>
      <c r="F388" s="9"/>
      <c r="G388" s="9"/>
    </row>
    <row r="389">
      <c r="A389" s="9"/>
      <c r="B389" s="9"/>
      <c r="C389" s="9"/>
      <c r="D389" s="9"/>
      <c r="E389" s="9"/>
      <c r="F389" s="9"/>
      <c r="G389" s="9"/>
    </row>
    <row r="390">
      <c r="A390" s="9"/>
      <c r="B390" s="9"/>
      <c r="C390" s="9"/>
      <c r="D390" s="9"/>
      <c r="E390" s="9"/>
      <c r="F390" s="9"/>
      <c r="G390" s="9"/>
    </row>
    <row r="391">
      <c r="A391" s="9"/>
      <c r="B391" s="9"/>
      <c r="C391" s="9"/>
      <c r="D391" s="9"/>
      <c r="E391" s="9"/>
      <c r="F391" s="9"/>
      <c r="G391" s="9"/>
    </row>
    <row r="392">
      <c r="A392" s="9"/>
      <c r="B392" s="9"/>
      <c r="C392" s="9"/>
      <c r="D392" s="9"/>
      <c r="E392" s="9"/>
      <c r="F392" s="9"/>
      <c r="G392" s="9"/>
    </row>
    <row r="393">
      <c r="A393" s="9"/>
      <c r="B393" s="9"/>
      <c r="C393" s="9"/>
      <c r="D393" s="9"/>
      <c r="E393" s="9"/>
      <c r="F393" s="9"/>
      <c r="G393" s="9"/>
    </row>
    <row r="394">
      <c r="A394" s="9"/>
      <c r="B394" s="9"/>
      <c r="C394" s="9"/>
      <c r="D394" s="9"/>
      <c r="E394" s="9"/>
      <c r="F394" s="9"/>
      <c r="G394" s="9"/>
    </row>
    <row r="395">
      <c r="A395" s="9"/>
      <c r="B395" s="9"/>
      <c r="C395" s="9"/>
      <c r="D395" s="9"/>
      <c r="E395" s="9"/>
      <c r="F395" s="9"/>
      <c r="G395" s="9"/>
    </row>
    <row r="396">
      <c r="A396" s="9"/>
      <c r="B396" s="9"/>
      <c r="C396" s="9"/>
      <c r="D396" s="9"/>
      <c r="E396" s="9"/>
      <c r="F396" s="9"/>
      <c r="G396" s="9"/>
    </row>
    <row r="397">
      <c r="A397" s="9"/>
      <c r="B397" s="9"/>
      <c r="C397" s="9"/>
      <c r="D397" s="9"/>
      <c r="E397" s="9"/>
      <c r="F397" s="9"/>
      <c r="G39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7.13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5"/>
      <c r="H1" s="8" t="s">
        <v>7</v>
      </c>
      <c r="I1" s="8" t="s">
        <v>8</v>
      </c>
      <c r="J1" s="8" t="s">
        <v>10</v>
      </c>
      <c r="K1" s="4" t="s">
        <v>11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21" t="s">
        <v>14</v>
      </c>
      <c r="B2" s="21" t="s">
        <v>31</v>
      </c>
      <c r="C2" s="21" t="s">
        <v>34</v>
      </c>
      <c r="D2" s="21">
        <v>4.0</v>
      </c>
      <c r="E2" s="21">
        <v>60.0</v>
      </c>
      <c r="F2" s="21">
        <v>6.0</v>
      </c>
      <c r="H2" s="22" t="s">
        <v>39</v>
      </c>
      <c r="I2" s="23">
        <f t="shared" ref="I2:I123" si="1">len(B2)-len(substitute(B2,char(10),""))</f>
        <v>0</v>
      </c>
      <c r="J2" s="23" t="str">
        <f t="shared" ref="J2:J123" si="2">IF(I2&gt;0,MID(B2,FIND(CHAR(10),B2),999),"")</f>
        <v/>
      </c>
      <c r="K2" s="23" t="str">
        <f t="shared" ref="K2:K123" si="3">substitute(B2,J2,"")</f>
        <v>DINÂMICAS E CONCEITOS DO ESPAÇO TEMPORAL E SOCIAL - A</v>
      </c>
    </row>
    <row r="3">
      <c r="A3" s="21" t="s">
        <v>67</v>
      </c>
      <c r="B3" s="21" t="s">
        <v>68</v>
      </c>
      <c r="C3" s="21" t="s">
        <v>97</v>
      </c>
      <c r="D3" s="21">
        <v>3.0</v>
      </c>
      <c r="E3" s="21">
        <v>45.0</v>
      </c>
      <c r="F3" s="21">
        <v>0.0</v>
      </c>
      <c r="H3" s="22" t="s">
        <v>39</v>
      </c>
      <c r="I3" s="23">
        <f t="shared" si="1"/>
        <v>0</v>
      </c>
      <c r="J3" s="23" t="str">
        <f t="shared" si="2"/>
        <v/>
      </c>
      <c r="K3" s="23" t="str">
        <f t="shared" si="3"/>
        <v>INTRODUÇÃO À DINÂMICA E AOS PROCESSOS DA NATUREZA - A</v>
      </c>
    </row>
    <row r="4">
      <c r="A4" s="21" t="s">
        <v>72</v>
      </c>
      <c r="B4" s="21" t="s">
        <v>73</v>
      </c>
      <c r="C4" s="21" t="s">
        <v>34</v>
      </c>
      <c r="D4" s="21">
        <v>2.0</v>
      </c>
      <c r="E4" s="21">
        <v>30.0</v>
      </c>
      <c r="F4" s="21">
        <v>0.0</v>
      </c>
      <c r="H4" s="22" t="s">
        <v>39</v>
      </c>
      <c r="I4" s="23">
        <f t="shared" si="1"/>
        <v>0</v>
      </c>
      <c r="J4" s="23" t="str">
        <f t="shared" si="2"/>
        <v/>
      </c>
      <c r="K4" s="23" t="str">
        <f t="shared" si="3"/>
        <v>INTRODUÇÃO À TECNOLOGIA DA INFORMAÇÃO E COMUNICAÇÃO</v>
      </c>
    </row>
    <row r="5">
      <c r="A5" s="21" t="s">
        <v>77</v>
      </c>
      <c r="B5" s="21" t="s">
        <v>78</v>
      </c>
      <c r="C5" s="21" t="s">
        <v>34</v>
      </c>
      <c r="D5" s="21">
        <v>4.0</v>
      </c>
      <c r="E5" s="21">
        <v>60.0</v>
      </c>
      <c r="F5" s="21">
        <v>0.0</v>
      </c>
      <c r="H5" s="22" t="s">
        <v>39</v>
      </c>
      <c r="I5" s="23">
        <f t="shared" si="1"/>
        <v>0</v>
      </c>
      <c r="J5" s="23" t="str">
        <f t="shared" si="2"/>
        <v/>
      </c>
      <c r="K5" s="23" t="str">
        <f t="shared" si="3"/>
        <v>LEITURA E PRODUÇÃO TEXTUAL - A</v>
      </c>
    </row>
    <row r="6">
      <c r="A6" s="21" t="s">
        <v>85</v>
      </c>
      <c r="B6" s="21" t="s">
        <v>86</v>
      </c>
      <c r="C6" s="21" t="s">
        <v>34</v>
      </c>
      <c r="D6" s="21">
        <v>3.0</v>
      </c>
      <c r="E6" s="21">
        <v>45.0</v>
      </c>
      <c r="F6" s="21">
        <v>0.0</v>
      </c>
      <c r="H6" s="22" t="s">
        <v>39</v>
      </c>
      <c r="I6" s="23">
        <f t="shared" si="1"/>
        <v>0</v>
      </c>
      <c r="J6" s="23" t="str">
        <f t="shared" si="2"/>
        <v/>
      </c>
      <c r="K6" s="23" t="str">
        <f t="shared" si="3"/>
        <v>METODOLOGIA DA CIÊNCIA</v>
      </c>
    </row>
    <row r="7">
      <c r="A7" s="21" t="s">
        <v>82</v>
      </c>
      <c r="B7" s="21" t="s">
        <v>83</v>
      </c>
      <c r="C7" s="21" t="s">
        <v>34</v>
      </c>
      <c r="D7" s="21">
        <v>4.0</v>
      </c>
      <c r="E7" s="21">
        <v>60.0</v>
      </c>
      <c r="F7" s="21">
        <v>0.0</v>
      </c>
      <c r="H7" s="22" t="s">
        <v>39</v>
      </c>
      <c r="I7" s="23">
        <f t="shared" si="1"/>
        <v>0</v>
      </c>
      <c r="J7" s="23" t="str">
        <f t="shared" si="2"/>
        <v/>
      </c>
      <c r="K7" s="23" t="str">
        <f t="shared" si="3"/>
        <v>MODELOS MATEMÁTICOS ELEMENTARES</v>
      </c>
    </row>
    <row r="8">
      <c r="A8" s="21" t="s">
        <v>92</v>
      </c>
      <c r="B8" s="21" t="s">
        <v>93</v>
      </c>
      <c r="C8" s="21" t="s">
        <v>97</v>
      </c>
      <c r="D8" s="21">
        <v>2.0</v>
      </c>
      <c r="E8" s="21">
        <v>30.0</v>
      </c>
      <c r="F8" s="21">
        <v>0.0</v>
      </c>
      <c r="H8" s="22" t="s">
        <v>39</v>
      </c>
      <c r="I8" s="23">
        <f t="shared" si="1"/>
        <v>0</v>
      </c>
      <c r="J8" s="23" t="str">
        <f t="shared" si="2"/>
        <v/>
      </c>
      <c r="K8" s="23" t="str">
        <f t="shared" si="3"/>
        <v>SEMINÁRIOS INTERDISCIPLINARES</v>
      </c>
    </row>
    <row r="9">
      <c r="A9" s="21" t="s">
        <v>98</v>
      </c>
      <c r="B9" s="21" t="s">
        <v>99</v>
      </c>
      <c r="C9" s="21" t="s">
        <v>34</v>
      </c>
      <c r="D9" s="21">
        <v>4.0</v>
      </c>
      <c r="E9" s="21">
        <v>60.0</v>
      </c>
      <c r="F9" s="21">
        <v>0.0</v>
      </c>
      <c r="H9" s="22" t="s">
        <v>101</v>
      </c>
      <c r="I9" s="23">
        <f t="shared" si="1"/>
        <v>0</v>
      </c>
      <c r="J9" s="23" t="str">
        <f t="shared" si="2"/>
        <v/>
      </c>
      <c r="K9" s="23" t="str">
        <f t="shared" si="3"/>
        <v>ADMINISTRAÇÃO</v>
      </c>
    </row>
    <row r="10">
      <c r="A10" s="21" t="s">
        <v>103</v>
      </c>
      <c r="B10" s="21" t="s">
        <v>104</v>
      </c>
      <c r="C10" s="21" t="s">
        <v>34</v>
      </c>
      <c r="D10" s="21">
        <v>4.0</v>
      </c>
      <c r="E10" s="21">
        <v>60.0</v>
      </c>
      <c r="F10" s="21">
        <v>0.0</v>
      </c>
      <c r="H10" s="22" t="s">
        <v>101</v>
      </c>
      <c r="I10" s="23">
        <f t="shared" si="1"/>
        <v>1</v>
      </c>
      <c r="J10" s="23" t="str">
        <f t="shared" si="2"/>
        <v>
 - DIL01101 - MODELOS MATEMÁTICOS ELEMENTARES</v>
      </c>
      <c r="K10" s="23" t="str">
        <f t="shared" si="3"/>
        <v>CÁLCULO DIFERENCIAL E INTEGRAL I</v>
      </c>
    </row>
    <row r="11">
      <c r="A11" s="21" t="s">
        <v>108</v>
      </c>
      <c r="B11" s="21" t="s">
        <v>109</v>
      </c>
      <c r="C11" s="21" t="s">
        <v>34</v>
      </c>
      <c r="D11" s="21">
        <v>4.0</v>
      </c>
      <c r="E11" s="21">
        <v>60.0</v>
      </c>
      <c r="F11" s="21">
        <v>0.0</v>
      </c>
      <c r="H11" s="22" t="s">
        <v>101</v>
      </c>
      <c r="I11" s="23">
        <f t="shared" si="1"/>
        <v>1</v>
      </c>
      <c r="J11" s="23" t="str">
        <f t="shared" si="2"/>
        <v>
 - DIL01101 - MODELOS MATEMÁTICOS ELEMENTARES</v>
      </c>
      <c r="K11" s="23" t="str">
        <f t="shared" si="3"/>
        <v>ESTATÍSTICA I</v>
      </c>
    </row>
    <row r="12">
      <c r="A12" s="21" t="s">
        <v>112</v>
      </c>
      <c r="B12" s="21" t="s">
        <v>113</v>
      </c>
      <c r="C12" s="21" t="s">
        <v>34</v>
      </c>
      <c r="D12" s="21">
        <v>4.0</v>
      </c>
      <c r="E12" s="21">
        <v>60.0</v>
      </c>
      <c r="F12" s="21">
        <v>0.0</v>
      </c>
      <c r="H12" s="22" t="s">
        <v>101</v>
      </c>
      <c r="I12" s="23">
        <f t="shared" si="1"/>
        <v>1</v>
      </c>
      <c r="J12" s="23" t="str">
        <f t="shared" si="2"/>
        <v>
 - DIL01101 - MODELOS MATEMÁTICOS ELEMENTARES</v>
      </c>
      <c r="K12" s="23" t="str">
        <f t="shared" si="3"/>
        <v>FÍSICA PARA ENGENHARIA I</v>
      </c>
    </row>
    <row r="13">
      <c r="A13" s="21" t="s">
        <v>140</v>
      </c>
      <c r="B13" s="21" t="s">
        <v>141</v>
      </c>
      <c r="C13" s="21" t="s">
        <v>97</v>
      </c>
      <c r="D13" s="21">
        <v>2.0</v>
      </c>
      <c r="E13" s="21">
        <v>30.0</v>
      </c>
      <c r="F13" s="21">
        <v>0.0</v>
      </c>
      <c r="H13" s="22" t="s">
        <v>101</v>
      </c>
      <c r="I13" s="23">
        <f t="shared" si="1"/>
        <v>0</v>
      </c>
      <c r="J13" s="23" t="str">
        <f t="shared" si="2"/>
        <v/>
      </c>
      <c r="K13" s="23" t="str">
        <f t="shared" si="3"/>
        <v>FUNDAMENTOS DE ECOLOGIA - CBM</v>
      </c>
    </row>
    <row r="14">
      <c r="A14" s="21" t="s">
        <v>147</v>
      </c>
      <c r="B14" s="21" t="s">
        <v>149</v>
      </c>
      <c r="C14" s="21" t="s">
        <v>97</v>
      </c>
      <c r="D14" s="21">
        <v>4.0</v>
      </c>
      <c r="E14" s="21">
        <v>60.0</v>
      </c>
      <c r="F14" s="21">
        <v>0.0</v>
      </c>
      <c r="H14" s="22" t="s">
        <v>101</v>
      </c>
      <c r="I14" s="23">
        <f t="shared" si="1"/>
        <v>0</v>
      </c>
      <c r="J14" s="23" t="str">
        <f t="shared" si="2"/>
        <v/>
      </c>
      <c r="K14" s="23" t="str">
        <f t="shared" si="3"/>
        <v>FUNDAMENTOS DE FÍSICA</v>
      </c>
    </row>
    <row r="15">
      <c r="A15" s="21" t="s">
        <v>117</v>
      </c>
      <c r="B15" s="21" t="s">
        <v>118</v>
      </c>
      <c r="C15" s="21" t="s">
        <v>97</v>
      </c>
      <c r="D15" s="21">
        <v>2.0</v>
      </c>
      <c r="E15" s="21">
        <v>30.0</v>
      </c>
      <c r="F15" s="21">
        <v>0.0</v>
      </c>
      <c r="H15" s="22" t="s">
        <v>101</v>
      </c>
      <c r="I15" s="23">
        <f t="shared" si="1"/>
        <v>0</v>
      </c>
      <c r="J15" s="23" t="str">
        <f t="shared" si="2"/>
        <v/>
      </c>
      <c r="K15" s="23" t="str">
        <f t="shared" si="3"/>
        <v>FUNDAMENTOS DE GESTÃO DE RECURSOS ENERGÉTICOS</v>
      </c>
    </row>
    <row r="16">
      <c r="A16" s="21" t="s">
        <v>123</v>
      </c>
      <c r="B16" s="21" t="s">
        <v>124</v>
      </c>
      <c r="C16" s="21" t="s">
        <v>97</v>
      </c>
      <c r="D16" s="21">
        <v>3.0</v>
      </c>
      <c r="E16" s="21">
        <v>45.0</v>
      </c>
      <c r="F16" s="21">
        <v>0.0</v>
      </c>
      <c r="H16" s="22" t="s">
        <v>101</v>
      </c>
      <c r="I16" s="23">
        <f t="shared" si="1"/>
        <v>0</v>
      </c>
      <c r="J16" s="23" t="str">
        <f t="shared" si="2"/>
        <v/>
      </c>
      <c r="K16" s="23" t="str">
        <f t="shared" si="3"/>
        <v>GEOLOGIA E RECURSOS MINERAIS PARA ENGENHARIA</v>
      </c>
    </row>
    <row r="17">
      <c r="A17" s="21" t="s">
        <v>195</v>
      </c>
      <c r="B17" s="21" t="s">
        <v>197</v>
      </c>
      <c r="C17" s="21" t="s">
        <v>97</v>
      </c>
      <c r="D17" s="21">
        <v>6.0</v>
      </c>
      <c r="E17" s="21">
        <v>90.0</v>
      </c>
      <c r="F17" s="21">
        <v>0.0</v>
      </c>
      <c r="H17" s="22" t="s">
        <v>101</v>
      </c>
      <c r="I17" s="23">
        <f t="shared" si="1"/>
        <v>0</v>
      </c>
      <c r="J17" s="23" t="str">
        <f t="shared" si="2"/>
        <v/>
      </c>
      <c r="K17" s="23" t="str">
        <f t="shared" si="3"/>
        <v>GEOLOGIA GERAL - A</v>
      </c>
    </row>
    <row r="18">
      <c r="A18" s="21" t="s">
        <v>177</v>
      </c>
      <c r="B18" s="21" t="s">
        <v>178</v>
      </c>
      <c r="C18" s="21" t="s">
        <v>97</v>
      </c>
      <c r="D18" s="21">
        <v>4.0</v>
      </c>
      <c r="E18" s="21">
        <v>60.0</v>
      </c>
      <c r="F18" s="21">
        <v>0.0</v>
      </c>
      <c r="H18" s="22" t="s">
        <v>101</v>
      </c>
      <c r="I18" s="23">
        <f t="shared" si="1"/>
        <v>0</v>
      </c>
      <c r="J18" s="23" t="str">
        <f t="shared" si="2"/>
        <v/>
      </c>
      <c r="K18" s="23" t="str">
        <f t="shared" si="3"/>
        <v>HISTÓRIA E FUNDAMENTOS DA GEOGRAFIA - A</v>
      </c>
    </row>
    <row r="19">
      <c r="A19" s="21" t="s">
        <v>126</v>
      </c>
      <c r="B19" s="21" t="s">
        <v>127</v>
      </c>
      <c r="C19" s="21" t="s">
        <v>34</v>
      </c>
      <c r="D19" s="21">
        <v>4.0</v>
      </c>
      <c r="E19" s="21">
        <v>60.0</v>
      </c>
      <c r="F19" s="21">
        <v>0.0</v>
      </c>
      <c r="H19" s="22" t="s">
        <v>101</v>
      </c>
      <c r="I19" s="23">
        <f t="shared" si="1"/>
        <v>1</v>
      </c>
      <c r="J19" s="23" t="str">
        <f t="shared" si="2"/>
        <v>
 - DIL01101 - MODELOS MATEMÁTICOS ELEMENTARES</v>
      </c>
      <c r="K19" s="23" t="str">
        <f t="shared" si="3"/>
        <v>INTRODUÇÃO À ÁLGEBRA LINEAR</v>
      </c>
    </row>
    <row r="20">
      <c r="A20" s="21" t="s">
        <v>131</v>
      </c>
      <c r="B20" s="21" t="s">
        <v>132</v>
      </c>
      <c r="C20" s="21" t="s">
        <v>97</v>
      </c>
      <c r="D20" s="21">
        <v>2.0</v>
      </c>
      <c r="E20" s="21">
        <v>30.0</v>
      </c>
      <c r="F20" s="21">
        <v>0.0</v>
      </c>
      <c r="H20" s="22" t="s">
        <v>101</v>
      </c>
      <c r="I20" s="23">
        <f t="shared" si="1"/>
        <v>0</v>
      </c>
      <c r="J20" s="23" t="str">
        <f t="shared" si="2"/>
        <v/>
      </c>
      <c r="K20" s="23" t="str">
        <f t="shared" si="3"/>
        <v>INTRODUÇÃO À PSICOLOGIA DO DESENVOLVIMENTO E DA APRENDIZAGEM</v>
      </c>
    </row>
    <row r="21">
      <c r="A21" s="21" t="s">
        <v>135</v>
      </c>
      <c r="B21" s="21" t="s">
        <v>137</v>
      </c>
      <c r="C21" s="21" t="s">
        <v>97</v>
      </c>
      <c r="D21" s="21">
        <v>4.0</v>
      </c>
      <c r="E21" s="21">
        <v>60.0</v>
      </c>
      <c r="F21" s="21">
        <v>6.0</v>
      </c>
      <c r="H21" s="22" t="s">
        <v>101</v>
      </c>
      <c r="I21" s="23">
        <f t="shared" si="1"/>
        <v>0</v>
      </c>
      <c r="J21" s="23" t="str">
        <f t="shared" si="2"/>
        <v/>
      </c>
      <c r="K21" s="23" t="str">
        <f t="shared" si="3"/>
        <v>INTRODUÇÃO AO PENSAMENTO SOCIAL</v>
      </c>
    </row>
    <row r="22">
      <c r="A22" s="21" t="s">
        <v>142</v>
      </c>
      <c r="B22" s="21" t="s">
        <v>144</v>
      </c>
      <c r="C22" s="21" t="s">
        <v>34</v>
      </c>
      <c r="D22" s="21">
        <v>2.0</v>
      </c>
      <c r="E22" s="21">
        <v>30.0</v>
      </c>
      <c r="F22" s="21">
        <v>0.0</v>
      </c>
      <c r="H22" s="22" t="s">
        <v>101</v>
      </c>
      <c r="I22" s="23">
        <f t="shared" si="1"/>
        <v>1</v>
      </c>
      <c r="J22" s="23" t="str">
        <f t="shared" si="2"/>
        <v>
 - DIL01101 - MODELOS MATEMÁTICOS ELEMENTARES</v>
      </c>
      <c r="K22" s="23" t="str">
        <f t="shared" si="3"/>
        <v>LABORATÓRIO DE FÍSICA PARA ENGENHARIA I</v>
      </c>
    </row>
    <row r="23">
      <c r="A23" s="21" t="s">
        <v>148</v>
      </c>
      <c r="B23" s="21" t="s">
        <v>150</v>
      </c>
      <c r="C23" s="21" t="s">
        <v>97</v>
      </c>
      <c r="D23" s="21">
        <v>4.0</v>
      </c>
      <c r="E23" s="21">
        <v>60.0</v>
      </c>
      <c r="F23" s="21">
        <v>15.0</v>
      </c>
      <c r="H23" s="22" t="s">
        <v>101</v>
      </c>
      <c r="I23" s="23">
        <f t="shared" si="1"/>
        <v>0</v>
      </c>
      <c r="J23" s="23" t="str">
        <f t="shared" si="2"/>
        <v/>
      </c>
      <c r="K23" s="23" t="str">
        <f t="shared" si="3"/>
        <v>PRINCÍPIOS DE CARTOGRAFIA E AEROFOTOGEOGRAFIA</v>
      </c>
    </row>
    <row r="24">
      <c r="A24" s="21" t="s">
        <v>154</v>
      </c>
      <c r="B24" s="21" t="s">
        <v>155</v>
      </c>
      <c r="C24" s="21" t="s">
        <v>97</v>
      </c>
      <c r="D24" s="21">
        <v>4.0</v>
      </c>
      <c r="E24" s="21">
        <v>60.0</v>
      </c>
      <c r="F24" s="21">
        <v>6.0</v>
      </c>
      <c r="H24" s="22" t="s">
        <v>101</v>
      </c>
      <c r="I24" s="23">
        <f t="shared" si="1"/>
        <v>0</v>
      </c>
      <c r="J24" s="23" t="str">
        <f t="shared" si="2"/>
        <v/>
      </c>
      <c r="K24" s="23" t="str">
        <f t="shared" si="3"/>
        <v>TEORIAS DO DESENVOLVIMENTO</v>
      </c>
    </row>
    <row r="25">
      <c r="A25" s="21" t="s">
        <v>159</v>
      </c>
      <c r="B25" s="21" t="s">
        <v>160</v>
      </c>
      <c r="C25" s="21" t="s">
        <v>97</v>
      </c>
      <c r="D25" s="21">
        <v>4.0</v>
      </c>
      <c r="E25" s="21">
        <v>60.0</v>
      </c>
      <c r="F25" s="21">
        <v>6.0</v>
      </c>
      <c r="H25" s="22" t="s">
        <v>101</v>
      </c>
      <c r="I25" s="23">
        <f t="shared" si="1"/>
        <v>0</v>
      </c>
      <c r="J25" s="23" t="str">
        <f t="shared" si="2"/>
        <v/>
      </c>
      <c r="K25" s="23" t="str">
        <f t="shared" si="3"/>
        <v>TRANSFORMAÇÕES SOCIOCULTURAIS E DESENVOLVIMENTO REGIONAL</v>
      </c>
    </row>
    <row r="26">
      <c r="A26" s="21" t="s">
        <v>173</v>
      </c>
      <c r="B26" s="21" t="s">
        <v>174</v>
      </c>
      <c r="C26" s="21" t="s">
        <v>34</v>
      </c>
      <c r="D26" s="21">
        <v>4.0</v>
      </c>
      <c r="E26" s="21">
        <v>60.0</v>
      </c>
      <c r="F26" s="21">
        <v>0.0</v>
      </c>
      <c r="H26" s="22" t="s">
        <v>167</v>
      </c>
      <c r="I26" s="23">
        <f t="shared" si="1"/>
        <v>3</v>
      </c>
      <c r="J26" s="23" t="str">
        <f t="shared" si="2"/>
        <v>
 - DIL01111 - INTRODUÇÃO À ÁLGEBRA LINEAR
 - e DIL01113 - CÁLCULO DIFERENCIAL E INTEGRAL I
 - e DIL01114 - FÍSICA PARA ENGENHARIA I</v>
      </c>
      <c r="K26" s="23" t="str">
        <f t="shared" si="3"/>
        <v>CÁLCULO DIFERENCIAL E INTEGRAL II</v>
      </c>
    </row>
    <row r="27">
      <c r="A27" s="21" t="s">
        <v>251</v>
      </c>
      <c r="B27" s="21" t="s">
        <v>253</v>
      </c>
      <c r="C27" s="21" t="s">
        <v>97</v>
      </c>
      <c r="D27" s="21">
        <v>4.0</v>
      </c>
      <c r="E27" s="21">
        <v>60.0</v>
      </c>
      <c r="F27" s="21">
        <v>15.0</v>
      </c>
      <c r="H27" s="22" t="s">
        <v>167</v>
      </c>
      <c r="I27" s="23">
        <f t="shared" si="1"/>
        <v>1</v>
      </c>
      <c r="J27" s="23" t="str">
        <f t="shared" si="2"/>
        <v>
 - DIL01119 - PRINCÍPIOS DE CARTOGRAFIA E AEROFOTOGEOGRAFIA</v>
      </c>
      <c r="K27" s="23" t="str">
        <f t="shared" si="3"/>
        <v>CARTOGRAFIA TEMÁTICA E DIGITAL - A</v>
      </c>
    </row>
    <row r="28">
      <c r="A28" s="21" t="s">
        <v>180</v>
      </c>
      <c r="B28" s="21" t="s">
        <v>181</v>
      </c>
      <c r="C28" s="21" t="s">
        <v>97</v>
      </c>
      <c r="D28" s="21">
        <v>4.0</v>
      </c>
      <c r="E28" s="21">
        <v>60.0</v>
      </c>
      <c r="F28" s="21">
        <v>6.0</v>
      </c>
      <c r="H28" s="22" t="s">
        <v>167</v>
      </c>
      <c r="I28" s="23">
        <f t="shared" si="1"/>
        <v>0</v>
      </c>
      <c r="J28" s="23" t="str">
        <f t="shared" si="2"/>
        <v/>
      </c>
      <c r="K28" s="23" t="str">
        <f t="shared" si="3"/>
        <v>DEMOGRAFIA</v>
      </c>
    </row>
    <row r="29">
      <c r="A29" s="21" t="s">
        <v>185</v>
      </c>
      <c r="B29" s="21" t="s">
        <v>186</v>
      </c>
      <c r="C29" s="21" t="s">
        <v>97</v>
      </c>
      <c r="D29" s="21">
        <v>4.0</v>
      </c>
      <c r="E29" s="21">
        <v>60.0</v>
      </c>
      <c r="F29" s="21">
        <v>6.0</v>
      </c>
      <c r="H29" s="22" t="s">
        <v>167</v>
      </c>
      <c r="I29" s="23">
        <f t="shared" si="1"/>
        <v>0</v>
      </c>
      <c r="J29" s="23" t="str">
        <f t="shared" si="2"/>
        <v/>
      </c>
      <c r="K29" s="23" t="str">
        <f t="shared" si="3"/>
        <v>DESENVOLVIMENTO REGIONAL</v>
      </c>
    </row>
    <row r="30">
      <c r="A30" s="21" t="s">
        <v>270</v>
      </c>
      <c r="B30" s="21" t="s">
        <v>272</v>
      </c>
      <c r="C30" s="21" t="s">
        <v>97</v>
      </c>
      <c r="D30" s="21">
        <v>3.0</v>
      </c>
      <c r="E30" s="21">
        <v>45.0</v>
      </c>
      <c r="F30" s="21">
        <v>0.0</v>
      </c>
      <c r="H30" s="22" t="s">
        <v>167</v>
      </c>
      <c r="I30" s="23">
        <f t="shared" si="1"/>
        <v>0</v>
      </c>
      <c r="J30" s="23" t="str">
        <f t="shared" si="2"/>
        <v/>
      </c>
      <c r="K30" s="23" t="str">
        <f t="shared" si="3"/>
        <v>ESTUDOS ESTRATÉGICOS DO SETOR DE SERVIÇOS</v>
      </c>
    </row>
    <row r="31">
      <c r="A31" s="21" t="s">
        <v>192</v>
      </c>
      <c r="B31" s="21" t="s">
        <v>193</v>
      </c>
      <c r="C31" s="21" t="s">
        <v>34</v>
      </c>
      <c r="D31" s="21">
        <v>4.0</v>
      </c>
      <c r="E31" s="21">
        <v>60.0</v>
      </c>
      <c r="F31" s="21">
        <v>0.0</v>
      </c>
      <c r="H31" s="22" t="s">
        <v>167</v>
      </c>
      <c r="I31" s="23">
        <f t="shared" si="1"/>
        <v>0</v>
      </c>
      <c r="J31" s="23" t="str">
        <f t="shared" si="2"/>
        <v/>
      </c>
      <c r="K31" s="23" t="str">
        <f t="shared" si="3"/>
        <v>EXPRESSÃO GRÁFICA</v>
      </c>
    </row>
    <row r="32">
      <c r="A32" s="21" t="s">
        <v>198</v>
      </c>
      <c r="B32" s="21" t="s">
        <v>199</v>
      </c>
      <c r="C32" s="21" t="s">
        <v>34</v>
      </c>
      <c r="D32" s="21">
        <v>4.0</v>
      </c>
      <c r="E32" s="21">
        <v>60.0</v>
      </c>
      <c r="F32" s="21">
        <v>0.0</v>
      </c>
      <c r="H32" s="22" t="s">
        <v>167</v>
      </c>
      <c r="I32" s="23">
        <f t="shared" si="1"/>
        <v>3</v>
      </c>
      <c r="J32" s="23" t="str">
        <f t="shared" si="2"/>
        <v>
 - DIL01111 - INTRODUÇÃO À ÁLGEBRA LINEAR
 - e DIL01113 - CÁLCULO DIFERENCIAL E INTEGRAL I
 - e DIL01114 - FÍSICA PARA ENGENHARIA I</v>
      </c>
      <c r="K32" s="23" t="str">
        <f t="shared" si="3"/>
        <v>FÍSICA PARA ENGENHARIA II</v>
      </c>
    </row>
    <row r="33">
      <c r="A33" s="21" t="s">
        <v>282</v>
      </c>
      <c r="B33" s="21" t="s">
        <v>284</v>
      </c>
      <c r="C33" s="21" t="s">
        <v>97</v>
      </c>
      <c r="D33" s="21">
        <v>4.0</v>
      </c>
      <c r="E33" s="21">
        <v>60.0</v>
      </c>
      <c r="F33" s="21">
        <v>10.0</v>
      </c>
      <c r="H33" s="22" t="s">
        <v>167</v>
      </c>
      <c r="I33" s="23">
        <f t="shared" si="1"/>
        <v>1</v>
      </c>
      <c r="J33" s="23" t="str">
        <f t="shared" si="2"/>
        <v>
 - DIL01133 - GEOMORFOLOGIA E AMBIENTES A</v>
      </c>
      <c r="K33" s="23" t="str">
        <f t="shared" si="3"/>
        <v>FUNDAMENTOS DE METEOROLOGIA E CLIMATOLOGIA A</v>
      </c>
    </row>
    <row r="34">
      <c r="A34" s="21" t="s">
        <v>203</v>
      </c>
      <c r="B34" s="21" t="s">
        <v>204</v>
      </c>
      <c r="C34" s="21" t="s">
        <v>34</v>
      </c>
      <c r="D34" s="21">
        <v>4.0</v>
      </c>
      <c r="E34" s="21">
        <v>60.0</v>
      </c>
      <c r="F34" s="21">
        <v>0.0</v>
      </c>
      <c r="H34" s="22" t="s">
        <v>167</v>
      </c>
      <c r="I34" s="23">
        <f t="shared" si="1"/>
        <v>0</v>
      </c>
      <c r="J34" s="23" t="str">
        <f t="shared" si="2"/>
        <v/>
      </c>
      <c r="K34" s="23" t="str">
        <f t="shared" si="3"/>
        <v>FUNDAMENTOS DE QUÍMICA</v>
      </c>
    </row>
    <row r="35">
      <c r="A35" s="21" t="s">
        <v>295</v>
      </c>
      <c r="B35" s="21" t="s">
        <v>302</v>
      </c>
      <c r="C35" s="21" t="s">
        <v>34</v>
      </c>
      <c r="D35" s="21">
        <v>4.0</v>
      </c>
      <c r="E35" s="21">
        <v>60.0</v>
      </c>
      <c r="F35" s="21">
        <v>0.0</v>
      </c>
      <c r="H35" s="22" t="s">
        <v>167</v>
      </c>
      <c r="I35" s="23">
        <f t="shared" si="1"/>
        <v>1</v>
      </c>
      <c r="J35" s="23" t="str">
        <f t="shared" si="2"/>
        <v>
 - DIL01158 - ADMINISTRAÇÃO</v>
      </c>
      <c r="K35" s="23" t="str">
        <f t="shared" si="3"/>
        <v>FUNDAMENTOS E ORGANIZAÇÃO DE EMPRESAS DE SERVIÇOS</v>
      </c>
    </row>
    <row r="36">
      <c r="A36" s="21" t="s">
        <v>208</v>
      </c>
      <c r="B36" s="21" t="s">
        <v>209</v>
      </c>
      <c r="C36" s="21" t="s">
        <v>97</v>
      </c>
      <c r="D36" s="21">
        <v>4.0</v>
      </c>
      <c r="E36" s="21">
        <v>60.0</v>
      </c>
      <c r="F36" s="21">
        <v>15.0</v>
      </c>
      <c r="H36" s="22" t="s">
        <v>167</v>
      </c>
      <c r="I36" s="23">
        <f t="shared" si="1"/>
        <v>0</v>
      </c>
      <c r="J36" s="23" t="str">
        <f t="shared" si="2"/>
        <v/>
      </c>
      <c r="K36" s="23" t="str">
        <f t="shared" si="3"/>
        <v>GEOGRAFIA ECONÔMICA E HUMANA A</v>
      </c>
    </row>
    <row r="37">
      <c r="A37" s="21" t="s">
        <v>312</v>
      </c>
      <c r="B37" s="21" t="s">
        <v>314</v>
      </c>
      <c r="C37" s="21" t="s">
        <v>97</v>
      </c>
      <c r="D37" s="21">
        <v>6.0</v>
      </c>
      <c r="E37" s="21">
        <v>90.0</v>
      </c>
      <c r="F37" s="21">
        <v>15.0</v>
      </c>
      <c r="H37" s="22" t="s">
        <v>167</v>
      </c>
      <c r="I37" s="23">
        <f t="shared" si="1"/>
        <v>1</v>
      </c>
      <c r="J37" s="23" t="str">
        <f t="shared" si="2"/>
        <v>
 - DIL01355 - GEOLOGIA GERAL - A</v>
      </c>
      <c r="K37" s="23" t="str">
        <f t="shared" si="3"/>
        <v>GEOMORFOLOGIA E AMBIENTES A</v>
      </c>
    </row>
    <row r="38">
      <c r="A38" s="21" t="s">
        <v>215</v>
      </c>
      <c r="B38" s="21" t="s">
        <v>216</v>
      </c>
      <c r="C38" s="21" t="s">
        <v>34</v>
      </c>
      <c r="D38" s="21">
        <v>2.0</v>
      </c>
      <c r="E38" s="21">
        <v>30.0</v>
      </c>
      <c r="F38" s="21">
        <v>0.0</v>
      </c>
      <c r="H38" s="22" t="s">
        <v>167</v>
      </c>
      <c r="I38" s="23">
        <f t="shared" si="1"/>
        <v>3</v>
      </c>
      <c r="J38" s="23" t="str">
        <f t="shared" si="2"/>
        <v>
 - DIL01111 - INTRODUÇÃO À ÁLGEBRA LINEAR
 - e DIL01113 - CÁLCULO DIFERENCIAL E INTEGRAL I
 - e DIL01114 - FÍSICA PARA ENGENHARIA I</v>
      </c>
      <c r="K38" s="23" t="str">
        <f t="shared" si="3"/>
        <v>LABORATÓRIO DE FÍSICA PARA ENGENHARIA II</v>
      </c>
    </row>
    <row r="39">
      <c r="A39" s="21" t="s">
        <v>221</v>
      </c>
      <c r="B39" s="21" t="s">
        <v>222</v>
      </c>
      <c r="C39" s="21" t="s">
        <v>34</v>
      </c>
      <c r="D39" s="21">
        <v>2.0</v>
      </c>
      <c r="E39" s="21">
        <v>30.0</v>
      </c>
      <c r="F39" s="21">
        <v>0.0</v>
      </c>
      <c r="H39" s="22" t="s">
        <v>167</v>
      </c>
      <c r="I39" s="23">
        <f t="shared" si="1"/>
        <v>0</v>
      </c>
      <c r="J39" s="23" t="str">
        <f t="shared" si="2"/>
        <v/>
      </c>
      <c r="K39" s="23" t="str">
        <f t="shared" si="3"/>
        <v>LABORATÓRIO DE FUNDAMENTOS DE QUÍMICA</v>
      </c>
    </row>
    <row r="40">
      <c r="A40" s="21" t="s">
        <v>226</v>
      </c>
      <c r="B40" s="21" t="s">
        <v>227</v>
      </c>
      <c r="C40" s="21" t="s">
        <v>97</v>
      </c>
      <c r="D40" s="21">
        <v>4.0</v>
      </c>
      <c r="E40" s="21">
        <v>60.0</v>
      </c>
      <c r="F40" s="21">
        <v>12.0</v>
      </c>
      <c r="H40" s="22" t="s">
        <v>167</v>
      </c>
      <c r="I40" s="23">
        <f t="shared" si="1"/>
        <v>0</v>
      </c>
      <c r="J40" s="23" t="str">
        <f t="shared" si="2"/>
        <v/>
      </c>
      <c r="K40" s="23" t="str">
        <f t="shared" si="3"/>
        <v>POLÍTICAS PÚBLICAS DO DESENVOLVIMENTO REGIONAL</v>
      </c>
    </row>
    <row r="41">
      <c r="A41" s="21" t="s">
        <v>340</v>
      </c>
      <c r="B41" s="21" t="s">
        <v>341</v>
      </c>
      <c r="C41" s="21" t="s">
        <v>34</v>
      </c>
      <c r="D41" s="21">
        <v>2.0</v>
      </c>
      <c r="E41" s="21">
        <v>30.0</v>
      </c>
      <c r="F41" s="21">
        <v>30.0</v>
      </c>
      <c r="H41" s="22" t="s">
        <v>167</v>
      </c>
      <c r="I41" s="23">
        <f t="shared" si="1"/>
        <v>0</v>
      </c>
      <c r="J41" s="23" t="str">
        <f t="shared" si="2"/>
        <v/>
      </c>
      <c r="K41" s="23" t="str">
        <f t="shared" si="3"/>
        <v>PROJETO INTEGRADOR 1: DIAGNÓSTICO DO SETOR DE SERVIÇO DA REGIÃO</v>
      </c>
    </row>
    <row r="42">
      <c r="A42" s="21" t="s">
        <v>347</v>
      </c>
      <c r="B42" s="21" t="s">
        <v>348</v>
      </c>
      <c r="C42" s="21" t="s">
        <v>34</v>
      </c>
      <c r="D42" s="21">
        <v>3.0</v>
      </c>
      <c r="E42" s="21">
        <v>45.0</v>
      </c>
      <c r="F42" s="21">
        <v>0.0</v>
      </c>
      <c r="H42" s="22" t="s">
        <v>167</v>
      </c>
      <c r="I42" s="23">
        <f t="shared" si="1"/>
        <v>1</v>
      </c>
      <c r="J42" s="23" t="str">
        <f t="shared" si="2"/>
        <v>
 - DIL01158 - ADMINISTRAÇÃO</v>
      </c>
      <c r="K42" s="23" t="str">
        <f t="shared" si="3"/>
        <v>QUALIDADE EM SERVIÇOS</v>
      </c>
    </row>
    <row r="43">
      <c r="A43" s="21" t="s">
        <v>230</v>
      </c>
      <c r="B43" s="21" t="s">
        <v>232</v>
      </c>
      <c r="C43" s="21" t="s">
        <v>34</v>
      </c>
      <c r="D43" s="21">
        <v>3.0</v>
      </c>
      <c r="E43" s="21">
        <v>45.0</v>
      </c>
      <c r="F43" s="21">
        <v>0.0</v>
      </c>
      <c r="H43" s="22" t="s">
        <v>233</v>
      </c>
      <c r="I43" s="23">
        <f t="shared" si="1"/>
        <v>1</v>
      </c>
      <c r="J43" s="23" t="str">
        <f t="shared" si="2"/>
        <v>
 - DIL01109 - FUNDAMENTOS DE QUÍMICA</v>
      </c>
      <c r="K43" s="23" t="str">
        <f t="shared" si="3"/>
        <v>CIÊNCIA E TECNOLOGIA DOS MATERIAIS</v>
      </c>
    </row>
    <row r="44">
      <c r="A44" s="21" t="s">
        <v>236</v>
      </c>
      <c r="B44" s="21" t="s">
        <v>237</v>
      </c>
      <c r="C44" s="21" t="s">
        <v>97</v>
      </c>
      <c r="D44" s="21">
        <v>4.0</v>
      </c>
      <c r="E44" s="21">
        <v>60.0</v>
      </c>
      <c r="F44" s="21">
        <v>0.0</v>
      </c>
      <c r="H44" s="22" t="s">
        <v>233</v>
      </c>
      <c r="I44" s="23">
        <f t="shared" si="1"/>
        <v>2</v>
      </c>
      <c r="J44" s="23" t="str">
        <f t="shared" si="2"/>
        <v>
 - DIL01111 - INTRODUÇÃO À ÁLGEBRA LINEAR
 - e DIL01113 - CÁLCULO DIFERENCIAL E INTEGRAL I</v>
      </c>
      <c r="K44" s="23" t="str">
        <f t="shared" si="3"/>
        <v>CIRCUITOS ELÉTRICOS I</v>
      </c>
    </row>
    <row r="45">
      <c r="A45" s="21" t="s">
        <v>241</v>
      </c>
      <c r="B45" s="21" t="s">
        <v>243</v>
      </c>
      <c r="C45" s="21" t="s">
        <v>97</v>
      </c>
      <c r="D45" s="21">
        <v>4.0</v>
      </c>
      <c r="E45" s="21">
        <v>60.0</v>
      </c>
      <c r="F45" s="21">
        <v>9.0</v>
      </c>
      <c r="H45" s="22" t="s">
        <v>233</v>
      </c>
      <c r="I45" s="23">
        <f t="shared" si="1"/>
        <v>0</v>
      </c>
      <c r="J45" s="23" t="str">
        <f t="shared" si="2"/>
        <v/>
      </c>
      <c r="K45" s="23" t="str">
        <f t="shared" si="3"/>
        <v>DESENVOLVIMENTO RURAL</v>
      </c>
    </row>
    <row r="46">
      <c r="A46" s="21" t="s">
        <v>246</v>
      </c>
      <c r="B46" s="21" t="s">
        <v>247</v>
      </c>
      <c r="C46" s="21" t="s">
        <v>97</v>
      </c>
      <c r="D46" s="21">
        <v>4.0</v>
      </c>
      <c r="E46" s="21">
        <v>60.0</v>
      </c>
      <c r="F46" s="21">
        <v>6.0</v>
      </c>
      <c r="H46" s="22" t="s">
        <v>233</v>
      </c>
      <c r="I46" s="23">
        <f t="shared" si="1"/>
        <v>0</v>
      </c>
      <c r="J46" s="23" t="str">
        <f t="shared" si="2"/>
        <v/>
      </c>
      <c r="K46" s="23" t="str">
        <f t="shared" si="3"/>
        <v>ECONOMIA POLÍTICA DO DESENVOLVIMENTO NO BRASIL</v>
      </c>
    </row>
    <row r="47">
      <c r="A47" s="21" t="s">
        <v>252</v>
      </c>
      <c r="B47" s="21" t="s">
        <v>254</v>
      </c>
      <c r="C47" s="21" t="s">
        <v>34</v>
      </c>
      <c r="D47" s="21">
        <v>4.0</v>
      </c>
      <c r="E47" s="21">
        <v>60.0</v>
      </c>
      <c r="F47" s="21">
        <v>0.0</v>
      </c>
      <c r="H47" s="22" t="s">
        <v>233</v>
      </c>
      <c r="I47" s="23">
        <f t="shared" si="1"/>
        <v>1</v>
      </c>
      <c r="J47" s="23" t="str">
        <f t="shared" si="2"/>
        <v>
 - DIL01122 - CÁLCULO DIFERENCIAL E INTEGRAL II</v>
      </c>
      <c r="K47" s="23" t="str">
        <f t="shared" si="3"/>
        <v>EQUAÇÕES DIFERENCIAIS</v>
      </c>
    </row>
    <row r="48">
      <c r="A48" s="21" t="s">
        <v>381</v>
      </c>
      <c r="B48" s="21" t="s">
        <v>382</v>
      </c>
      <c r="C48" s="21" t="s">
        <v>97</v>
      </c>
      <c r="D48" s="21">
        <v>4.0</v>
      </c>
      <c r="E48" s="21">
        <v>60.0</v>
      </c>
      <c r="F48" s="21">
        <v>0.0</v>
      </c>
      <c r="H48" s="22" t="s">
        <v>233</v>
      </c>
      <c r="I48" s="23">
        <f t="shared" si="1"/>
        <v>0</v>
      </c>
      <c r="J48" s="23" t="str">
        <f t="shared" si="2"/>
        <v/>
      </c>
      <c r="K48" s="23" t="str">
        <f t="shared" si="3"/>
        <v>FILOSOFIA E SOCIOLOGIA DA EDUCAÇÃO</v>
      </c>
    </row>
    <row r="49">
      <c r="A49" s="21" t="s">
        <v>387</v>
      </c>
      <c r="B49" s="21" t="s">
        <v>389</v>
      </c>
      <c r="C49" s="21" t="s">
        <v>34</v>
      </c>
      <c r="D49" s="21">
        <v>4.0</v>
      </c>
      <c r="E49" s="21">
        <v>60.0</v>
      </c>
      <c r="F49" s="21">
        <v>0.0</v>
      </c>
      <c r="H49" s="22" t="s">
        <v>233</v>
      </c>
      <c r="I49" s="23">
        <f t="shared" si="1"/>
        <v>2</v>
      </c>
      <c r="J49" s="23" t="str">
        <f t="shared" si="2"/>
        <v>
 - DIL01111 - INTRODUÇÃO À ÁLGEBRA LINEAR
 - e DIL01113 - CÁLCULO DIFERENCIAL E INTEGRAL I</v>
      </c>
      <c r="K49" s="23" t="str">
        <f t="shared" si="3"/>
        <v>FUNDAMENTOS DE ELETRICIDADE E APLICAÇÕES</v>
      </c>
    </row>
    <row r="50">
      <c r="A50" s="21" t="s">
        <v>394</v>
      </c>
      <c r="B50" s="21" t="s">
        <v>395</v>
      </c>
      <c r="C50" s="21" t="s">
        <v>97</v>
      </c>
      <c r="D50" s="21">
        <v>6.0</v>
      </c>
      <c r="E50" s="21">
        <v>90.0</v>
      </c>
      <c r="F50" s="21">
        <v>0.0</v>
      </c>
      <c r="H50" s="22" t="s">
        <v>233</v>
      </c>
      <c r="I50" s="23">
        <f t="shared" si="1"/>
        <v>1</v>
      </c>
      <c r="J50" s="23" t="str">
        <f t="shared" si="2"/>
        <v>
 - DIL01354 - HISTÓRIA E FUNDAMENTOS DA GEOGRAFIA - A</v>
      </c>
      <c r="K50" s="23" t="str">
        <f t="shared" si="3"/>
        <v>GEOGRAFIA AGRÁRIA - A</v>
      </c>
    </row>
    <row r="51">
      <c r="A51" s="21" t="s">
        <v>401</v>
      </c>
      <c r="B51" s="21" t="s">
        <v>404</v>
      </c>
      <c r="C51" s="21" t="s">
        <v>97</v>
      </c>
      <c r="D51" s="21">
        <v>6.0</v>
      </c>
      <c r="E51" s="21">
        <v>90.0</v>
      </c>
      <c r="F51" s="21">
        <v>15.0</v>
      </c>
      <c r="H51" s="22" t="s">
        <v>233</v>
      </c>
      <c r="I51" s="23">
        <f t="shared" si="1"/>
        <v>0</v>
      </c>
      <c r="J51" s="23" t="str">
        <f t="shared" si="2"/>
        <v/>
      </c>
      <c r="K51" s="23" t="str">
        <f t="shared" si="3"/>
        <v>HIDROGRAFIA E OCEANOGRAFIA A</v>
      </c>
    </row>
    <row r="52">
      <c r="A52" s="21" t="s">
        <v>262</v>
      </c>
      <c r="B52" s="21" t="s">
        <v>411</v>
      </c>
      <c r="C52" s="21" t="s">
        <v>97</v>
      </c>
      <c r="D52" s="21">
        <v>4.0</v>
      </c>
      <c r="E52" s="21">
        <v>60.0</v>
      </c>
      <c r="F52" s="21">
        <v>0.0</v>
      </c>
      <c r="H52" s="22" t="s">
        <v>233</v>
      </c>
      <c r="I52" s="23">
        <f t="shared" si="1"/>
        <v>1</v>
      </c>
      <c r="J52" s="23" t="str">
        <f t="shared" si="2"/>
        <v>
 - DIL01109 - FUNDAMENTOS DE QUÍMICA</v>
      </c>
      <c r="K52" s="23" t="str">
        <f t="shared" si="3"/>
        <v>INTRODUÇÃO À TERMODINÂMICA E ENERGIAS RENOVÁVEIS</v>
      </c>
    </row>
    <row r="53">
      <c r="A53" s="21" t="s">
        <v>267</v>
      </c>
      <c r="B53" s="21" t="s">
        <v>268</v>
      </c>
      <c r="C53" s="21" t="s">
        <v>97</v>
      </c>
      <c r="D53" s="21">
        <v>2.0</v>
      </c>
      <c r="E53" s="21">
        <v>30.0</v>
      </c>
      <c r="F53" s="21">
        <v>0.0</v>
      </c>
      <c r="H53" s="22" t="s">
        <v>233</v>
      </c>
      <c r="I53" s="23">
        <f t="shared" si="1"/>
        <v>2</v>
      </c>
      <c r="J53" s="23" t="str">
        <f t="shared" si="2"/>
        <v>
 - DIL01111 - INTRODUÇÃO À ÁLGEBRA LINEAR
 - e DIL01113 - CÁLCULO DIFERENCIAL E INTEGRAL I</v>
      </c>
      <c r="K53" s="23" t="str">
        <f t="shared" si="3"/>
        <v>LABORATÓRIO DE CIRCUITOS ELÉTRICOS I</v>
      </c>
    </row>
    <row r="54">
      <c r="A54" s="21" t="s">
        <v>278</v>
      </c>
      <c r="B54" s="21" t="s">
        <v>280</v>
      </c>
      <c r="C54" s="21" t="s">
        <v>34</v>
      </c>
      <c r="D54" s="21">
        <v>4.0</v>
      </c>
      <c r="E54" s="21">
        <v>60.0</v>
      </c>
      <c r="F54" s="21">
        <v>15.0</v>
      </c>
      <c r="H54" s="22" t="s">
        <v>233</v>
      </c>
      <c r="I54" s="23">
        <f t="shared" si="1"/>
        <v>0</v>
      </c>
      <c r="J54" s="23" t="str">
        <f t="shared" si="2"/>
        <v/>
      </c>
      <c r="K54" s="23" t="str">
        <f t="shared" si="3"/>
        <v>LIDERANÇA E EMPREENDEDORISMO</v>
      </c>
    </row>
    <row r="55">
      <c r="A55" s="21" t="s">
        <v>428</v>
      </c>
      <c r="B55" s="21" t="s">
        <v>429</v>
      </c>
      <c r="C55" s="21" t="s">
        <v>34</v>
      </c>
      <c r="D55" s="21">
        <v>4.0</v>
      </c>
      <c r="E55" s="21">
        <v>60.0</v>
      </c>
      <c r="F55" s="21">
        <v>15.0</v>
      </c>
      <c r="H55" s="22" t="s">
        <v>233</v>
      </c>
      <c r="I55" s="23">
        <f t="shared" si="1"/>
        <v>0</v>
      </c>
      <c r="J55" s="23" t="str">
        <f t="shared" si="2"/>
        <v/>
      </c>
      <c r="K55" s="23" t="str">
        <f t="shared" si="3"/>
        <v>MARKETING E SATISFAÇÃO DO CLIENTE EM SERVIÇOS</v>
      </c>
    </row>
    <row r="56">
      <c r="A56" s="21" t="s">
        <v>335</v>
      </c>
      <c r="B56" s="21" t="s">
        <v>337</v>
      </c>
      <c r="C56" s="21" t="s">
        <v>34</v>
      </c>
      <c r="D56" s="21">
        <v>6.0</v>
      </c>
      <c r="E56" s="21">
        <v>90.0</v>
      </c>
      <c r="F56" s="21">
        <v>0.0</v>
      </c>
      <c r="H56" s="22" t="s">
        <v>233</v>
      </c>
      <c r="I56" s="23">
        <f t="shared" si="1"/>
        <v>2</v>
      </c>
      <c r="J56" s="23" t="str">
        <f t="shared" si="2"/>
        <v>
 - DIL01114 - FÍSICA PARA ENGENHARIA I
 - e DIL01122 - CÁLCULO DIFERENCIAL E INTEGRAL II</v>
      </c>
      <c r="K56" s="23" t="str">
        <f t="shared" si="3"/>
        <v>MECÂNICA E RESISTÊNCIA DOS MATERIAIS</v>
      </c>
    </row>
    <row r="57">
      <c r="A57" s="21" t="s">
        <v>285</v>
      </c>
      <c r="B57" s="21" t="s">
        <v>286</v>
      </c>
      <c r="C57" s="21" t="s">
        <v>97</v>
      </c>
      <c r="D57" s="21">
        <v>4.0</v>
      </c>
      <c r="E57" s="21">
        <v>60.0</v>
      </c>
      <c r="F57" s="21">
        <v>6.0</v>
      </c>
      <c r="H57" s="22" t="s">
        <v>233</v>
      </c>
      <c r="I57" s="23">
        <f t="shared" si="1"/>
        <v>0</v>
      </c>
      <c r="J57" s="23" t="str">
        <f t="shared" si="2"/>
        <v/>
      </c>
      <c r="K57" s="23" t="str">
        <f t="shared" si="3"/>
        <v>PROCESSOS DE CONSTRUÇÃO DE IDENTIDADES</v>
      </c>
    </row>
    <row r="58">
      <c r="A58" s="21" t="s">
        <v>291</v>
      </c>
      <c r="B58" s="21" t="s">
        <v>292</v>
      </c>
      <c r="C58" s="21" t="s">
        <v>97</v>
      </c>
      <c r="D58" s="21">
        <v>4.0</v>
      </c>
      <c r="E58" s="21">
        <v>60.0</v>
      </c>
      <c r="F58" s="21">
        <v>0.0</v>
      </c>
      <c r="H58" s="22" t="s">
        <v>233</v>
      </c>
      <c r="I58" s="23">
        <f t="shared" si="1"/>
        <v>1</v>
      </c>
      <c r="J58" s="23" t="str">
        <f t="shared" si="2"/>
        <v>
 - DIL01119 - PRINCÍPIOS DE CARTOGRAFIA E AEROFOTOGEOGRAFIA</v>
      </c>
      <c r="K58" s="23" t="str">
        <f t="shared" si="3"/>
        <v>SENSORIAMENTO REMOTO - A</v>
      </c>
    </row>
    <row r="59">
      <c r="A59" s="21" t="s">
        <v>164</v>
      </c>
      <c r="B59" s="21" t="s">
        <v>166</v>
      </c>
      <c r="C59" s="21" t="s">
        <v>34</v>
      </c>
      <c r="D59" s="21">
        <v>4.0</v>
      </c>
      <c r="E59" s="21">
        <v>60.0</v>
      </c>
      <c r="F59" s="21">
        <v>0.0</v>
      </c>
      <c r="H59" s="22" t="s">
        <v>300</v>
      </c>
      <c r="I59" s="23">
        <f t="shared" si="1"/>
        <v>1</v>
      </c>
      <c r="J59" s="23" t="str">
        <f t="shared" si="2"/>
        <v>
 - DIL01111 - INTRODUÇÃO À ÁLGEBRA LINEAR</v>
      </c>
      <c r="K59" s="23" t="str">
        <f t="shared" si="3"/>
        <v>ALGORITMOS E PROGRAMAÇÃO</v>
      </c>
    </row>
    <row r="60">
      <c r="A60" s="21" t="s">
        <v>367</v>
      </c>
      <c r="B60" s="21" t="s">
        <v>369</v>
      </c>
      <c r="C60" s="21" t="s">
        <v>97</v>
      </c>
      <c r="D60" s="21">
        <v>4.0</v>
      </c>
      <c r="E60" s="21">
        <v>60.0</v>
      </c>
      <c r="F60" s="21">
        <v>8.0</v>
      </c>
      <c r="H60" s="22" t="s">
        <v>300</v>
      </c>
      <c r="I60" s="23">
        <f t="shared" si="1"/>
        <v>1</v>
      </c>
      <c r="J60" s="23" t="str">
        <f t="shared" si="2"/>
        <v>
 - DIL01353 - INTRODUÇÃO À DINÂMICA E AOS PROCESSOS DA NATUREZA - A</v>
      </c>
      <c r="K60" s="23" t="str">
        <f t="shared" si="3"/>
        <v>CIÊNCIAS DO AMBIENTE: ENERGIA E MEIO AMBIENTE</v>
      </c>
    </row>
    <row r="61">
      <c r="A61" s="21" t="s">
        <v>297</v>
      </c>
      <c r="B61" s="21" t="s">
        <v>298</v>
      </c>
      <c r="C61" s="21" t="s">
        <v>97</v>
      </c>
      <c r="D61" s="21">
        <v>4.0</v>
      </c>
      <c r="E61" s="21">
        <v>60.0</v>
      </c>
      <c r="F61" s="21">
        <v>6.0</v>
      </c>
      <c r="H61" s="22" t="s">
        <v>300</v>
      </c>
      <c r="I61" s="23">
        <f t="shared" si="1"/>
        <v>2</v>
      </c>
      <c r="J61" s="23" t="str">
        <f t="shared" si="2"/>
        <v>
 - DIL01135 - EQUAÇÕES DIFERENCIAIS
 - e DIL01138 - CIRCUITOS ELÉTRICOS I</v>
      </c>
      <c r="K61" s="23" t="str">
        <f t="shared" si="3"/>
        <v>CIRCUITOS ELÉTRICOS II</v>
      </c>
    </row>
    <row r="62">
      <c r="A62" s="21" t="s">
        <v>467</v>
      </c>
      <c r="B62" s="21" t="s">
        <v>468</v>
      </c>
      <c r="C62" s="21" t="s">
        <v>34</v>
      </c>
      <c r="D62" s="21">
        <v>3.0</v>
      </c>
      <c r="E62" s="21">
        <v>45.0</v>
      </c>
      <c r="F62" s="21">
        <v>0.0</v>
      </c>
      <c r="H62" s="22" t="s">
        <v>300</v>
      </c>
      <c r="I62" s="23">
        <f t="shared" si="1"/>
        <v>0</v>
      </c>
      <c r="J62" s="23" t="str">
        <f t="shared" si="2"/>
        <v/>
      </c>
      <c r="K62" s="23" t="str">
        <f t="shared" si="3"/>
        <v>DESENVOLVIMENTO E PROTOTIPAGEM DE SERVIÇOS</v>
      </c>
    </row>
    <row r="63">
      <c r="A63" s="21" t="s">
        <v>303</v>
      </c>
      <c r="B63" s="21" t="s">
        <v>305</v>
      </c>
      <c r="C63" s="21" t="s">
        <v>34</v>
      </c>
      <c r="D63" s="21">
        <v>4.0</v>
      </c>
      <c r="E63" s="21">
        <v>60.0</v>
      </c>
      <c r="F63" s="21">
        <v>6.0</v>
      </c>
      <c r="H63" s="22" t="s">
        <v>300</v>
      </c>
      <c r="I63" s="23">
        <f t="shared" si="1"/>
        <v>0</v>
      </c>
      <c r="J63" s="23" t="str">
        <f t="shared" si="2"/>
        <v/>
      </c>
      <c r="K63" s="23" t="str">
        <f t="shared" si="3"/>
        <v>ECONOMIA E AMBIENTE</v>
      </c>
    </row>
    <row r="64">
      <c r="A64" s="21" t="s">
        <v>308</v>
      </c>
      <c r="B64" s="21" t="s">
        <v>309</v>
      </c>
      <c r="C64" s="21" t="s">
        <v>97</v>
      </c>
      <c r="D64" s="21">
        <v>4.0</v>
      </c>
      <c r="E64" s="21">
        <v>60.0</v>
      </c>
      <c r="F64" s="21">
        <v>6.0</v>
      </c>
      <c r="H64" s="22" t="s">
        <v>300</v>
      </c>
      <c r="I64" s="23">
        <f t="shared" si="1"/>
        <v>0</v>
      </c>
      <c r="J64" s="23" t="str">
        <f t="shared" si="2"/>
        <v/>
      </c>
      <c r="K64" s="23" t="str">
        <f t="shared" si="3"/>
        <v>ESCALAS DE ANÁLISE REGIONAL E TERRITORIAL</v>
      </c>
    </row>
    <row r="65">
      <c r="A65" s="21" t="s">
        <v>474</v>
      </c>
      <c r="B65" s="21" t="s">
        <v>476</v>
      </c>
      <c r="C65" s="21" t="s">
        <v>34</v>
      </c>
      <c r="D65" s="21">
        <v>4.0</v>
      </c>
      <c r="E65" s="21">
        <v>60.0</v>
      </c>
      <c r="F65" s="21">
        <v>0.0</v>
      </c>
      <c r="H65" s="22" t="s">
        <v>300</v>
      </c>
      <c r="I65" s="23">
        <f t="shared" si="1"/>
        <v>1</v>
      </c>
      <c r="J65" s="23" t="str">
        <f t="shared" si="2"/>
        <v>
 - DIL01089 - FUNDAMENTOS E ORGANIZAÇÃO DE EMPRESAS DE SERVIÇOS</v>
      </c>
      <c r="K65" s="23" t="str">
        <f t="shared" si="3"/>
        <v>ESTRATÉGIA EM SERVIÇOS</v>
      </c>
    </row>
    <row r="66">
      <c r="A66" s="21" t="s">
        <v>313</v>
      </c>
      <c r="B66" s="21" t="s">
        <v>315</v>
      </c>
      <c r="C66" s="21" t="s">
        <v>97</v>
      </c>
      <c r="D66" s="21">
        <v>4.0</v>
      </c>
      <c r="E66" s="21">
        <v>60.0</v>
      </c>
      <c r="F66" s="21">
        <v>0.0</v>
      </c>
      <c r="H66" s="22" t="s">
        <v>300</v>
      </c>
      <c r="I66" s="23">
        <f t="shared" si="1"/>
        <v>2</v>
      </c>
      <c r="J66" s="23" t="str">
        <f t="shared" si="2"/>
        <v>
 - DIL01122 - CÁLCULO DIFERENCIAL E INTEGRAL II
 - e DIL01123 - FÍSICA PARA ENGENHARIA II</v>
      </c>
      <c r="K66" s="23" t="str">
        <f t="shared" si="3"/>
        <v>FÍSICA PARA ENGENHARIA III</v>
      </c>
    </row>
    <row r="67">
      <c r="A67" s="21" t="s">
        <v>480</v>
      </c>
      <c r="B67" s="21" t="s">
        <v>482</v>
      </c>
      <c r="C67" s="21" t="s">
        <v>97</v>
      </c>
      <c r="D67" s="21">
        <v>6.0</v>
      </c>
      <c r="E67" s="21">
        <v>90.0</v>
      </c>
      <c r="F67" s="21">
        <v>15.0</v>
      </c>
      <c r="H67" s="22" t="s">
        <v>300</v>
      </c>
      <c r="I67" s="23">
        <f t="shared" si="1"/>
        <v>1</v>
      </c>
      <c r="J67" s="23" t="str">
        <f t="shared" si="2"/>
        <v>
 - DIL01354 - HISTÓRIA E FUNDAMENTOS DA GEOGRAFIA - A</v>
      </c>
      <c r="K67" s="23" t="str">
        <f t="shared" si="3"/>
        <v>GEOGRAFIA URBANA A</v>
      </c>
    </row>
    <row r="68">
      <c r="A68" s="21" t="s">
        <v>484</v>
      </c>
      <c r="B68" s="21" t="s">
        <v>485</v>
      </c>
      <c r="C68" s="21" t="s">
        <v>97</v>
      </c>
      <c r="D68" s="21">
        <v>4.0</v>
      </c>
      <c r="E68" s="21">
        <v>60.0</v>
      </c>
      <c r="F68" s="21">
        <v>0.0</v>
      </c>
      <c r="H68" s="22" t="s">
        <v>300</v>
      </c>
      <c r="I68" s="23">
        <f t="shared" si="1"/>
        <v>1</v>
      </c>
      <c r="J68" s="23" t="str">
        <f t="shared" si="2"/>
        <v>
 - DIL01361 - SENSORIAMENTO REMOTO - A</v>
      </c>
      <c r="K68" s="23" t="str">
        <f t="shared" si="3"/>
        <v>GEOPROCESSAMENTO B</v>
      </c>
    </row>
    <row r="69">
      <c r="A69" s="21" t="s">
        <v>318</v>
      </c>
      <c r="B69" s="21" t="s">
        <v>320</v>
      </c>
      <c r="C69" s="21" t="s">
        <v>97</v>
      </c>
      <c r="D69" s="21">
        <v>2.0</v>
      </c>
      <c r="E69" s="21">
        <v>30.0</v>
      </c>
      <c r="F69" s="21">
        <v>3.0</v>
      </c>
      <c r="H69" s="22" t="s">
        <v>300</v>
      </c>
      <c r="I69" s="23">
        <f t="shared" si="1"/>
        <v>3</v>
      </c>
      <c r="J69" s="23" t="str">
        <f t="shared" si="2"/>
        <v>
 - DIL01135 - EQUAÇÕES DIFERENCIAIS
 - e DIL01138 - CIRCUITOS ELÉTRICOS I
 - e DIL01139 - LABORATÓRIO DE CIRCUITOS ELÉTRICOS I</v>
      </c>
      <c r="K69" s="23" t="str">
        <f t="shared" si="3"/>
        <v>LABORATÓRIO DE CIRCUITOS ELÉTRICOS II</v>
      </c>
    </row>
    <row r="70">
      <c r="A70" s="21" t="s">
        <v>323</v>
      </c>
      <c r="B70" s="21" t="s">
        <v>324</v>
      </c>
      <c r="C70" s="21" t="s">
        <v>97</v>
      </c>
      <c r="D70" s="21">
        <v>4.0</v>
      </c>
      <c r="E70" s="21">
        <v>60.0</v>
      </c>
      <c r="F70" s="21">
        <v>0.0</v>
      </c>
      <c r="H70" s="22" t="s">
        <v>300</v>
      </c>
      <c r="I70" s="23">
        <f t="shared" si="1"/>
        <v>0</v>
      </c>
      <c r="J70" s="23" t="str">
        <f t="shared" si="2"/>
        <v/>
      </c>
      <c r="K70" s="23" t="str">
        <f t="shared" si="3"/>
        <v>LÍNGUA BRASILEIRA DE SINAIS - LIBRAS</v>
      </c>
    </row>
    <row r="71">
      <c r="A71" s="21" t="s">
        <v>329</v>
      </c>
      <c r="B71" s="21" t="s">
        <v>330</v>
      </c>
      <c r="C71" s="21" t="s">
        <v>97</v>
      </c>
      <c r="D71" s="21">
        <v>4.0</v>
      </c>
      <c r="E71" s="21">
        <v>60.0</v>
      </c>
      <c r="F71" s="21">
        <v>0.0</v>
      </c>
      <c r="H71" s="22" t="s">
        <v>300</v>
      </c>
      <c r="I71" s="23">
        <f t="shared" si="1"/>
        <v>1</v>
      </c>
      <c r="J71" s="23" t="str">
        <f t="shared" si="2"/>
        <v>
 - DIL01123 - FÍSICA PARA ENGENHARIA II</v>
      </c>
      <c r="K71" s="23" t="str">
        <f t="shared" si="3"/>
        <v>MÁQUINAS TÉRMICAS</v>
      </c>
    </row>
    <row r="72">
      <c r="A72" s="21" t="s">
        <v>496</v>
      </c>
      <c r="B72" s="21" t="s">
        <v>498</v>
      </c>
      <c r="C72" s="21" t="s">
        <v>34</v>
      </c>
      <c r="D72" s="21">
        <v>4.0</v>
      </c>
      <c r="E72" s="21">
        <v>60.0</v>
      </c>
      <c r="F72" s="21">
        <v>0.0</v>
      </c>
      <c r="H72" s="22" t="s">
        <v>300</v>
      </c>
      <c r="I72" s="23">
        <f t="shared" si="1"/>
        <v>1</v>
      </c>
      <c r="J72" s="23" t="str">
        <f t="shared" si="2"/>
        <v>
 - DIL01159 - CIÊNCIA E TECNOLOGIA DOS MATERIAIS</v>
      </c>
      <c r="K72" s="23" t="str">
        <f t="shared" si="3"/>
        <v>MATERIAIS DE CONSTRUÇÃO</v>
      </c>
    </row>
    <row r="73">
      <c r="A73" s="21" t="s">
        <v>502</v>
      </c>
      <c r="B73" s="21" t="s">
        <v>503</v>
      </c>
      <c r="C73" s="21" t="s">
        <v>34</v>
      </c>
      <c r="D73" s="21">
        <v>4.0</v>
      </c>
      <c r="E73" s="21">
        <v>60.0</v>
      </c>
      <c r="F73" s="21">
        <v>60.0</v>
      </c>
      <c r="H73" s="22" t="s">
        <v>300</v>
      </c>
      <c r="I73" s="23">
        <f t="shared" si="1"/>
        <v>1</v>
      </c>
      <c r="J73" s="23" t="str">
        <f t="shared" si="2"/>
        <v>
 - DIL01179 - PROJETO INTEGRADOR 1: DIAGNÓSTICO DO SETOR DE SERVIÇO DA REGIÃO</v>
      </c>
      <c r="K73" s="23" t="str">
        <f t="shared" si="3"/>
        <v>PROJETO INTEGRADOR 2: CONCEPÇÃO E DESENVOLVIMENTO DE SERVIÇOS</v>
      </c>
    </row>
    <row r="74">
      <c r="A74" s="21" t="s">
        <v>350</v>
      </c>
      <c r="B74" s="21" t="s">
        <v>351</v>
      </c>
      <c r="C74" s="21" t="s">
        <v>97</v>
      </c>
      <c r="D74" s="21">
        <v>4.0</v>
      </c>
      <c r="E74" s="21">
        <v>60.0</v>
      </c>
      <c r="F74" s="21">
        <v>6.0</v>
      </c>
      <c r="H74" s="22" t="s">
        <v>300</v>
      </c>
      <c r="I74" s="23">
        <f t="shared" si="1"/>
        <v>0</v>
      </c>
      <c r="J74" s="23" t="str">
        <f t="shared" si="2"/>
        <v/>
      </c>
      <c r="K74" s="23" t="str">
        <f t="shared" si="3"/>
        <v>PROJETOS INTEGRADOS DE GESTÃO ESPACIAL</v>
      </c>
    </row>
    <row r="75">
      <c r="A75" s="21" t="s">
        <v>508</v>
      </c>
      <c r="B75" s="21" t="s">
        <v>509</v>
      </c>
      <c r="C75" s="21" t="s">
        <v>34</v>
      </c>
      <c r="D75" s="21">
        <v>4.0</v>
      </c>
      <c r="E75" s="21">
        <v>60.0</v>
      </c>
      <c r="F75" s="21">
        <v>0.0</v>
      </c>
      <c r="H75" s="22" t="s">
        <v>300</v>
      </c>
      <c r="I75" s="23">
        <f t="shared" si="1"/>
        <v>1</v>
      </c>
      <c r="J75" s="23" t="str">
        <f t="shared" si="2"/>
        <v>
 - DIL01159 - CIÊNCIA E TECNOLOGIA DOS MATERIAIS</v>
      </c>
      <c r="K75" s="23" t="str">
        <f t="shared" si="3"/>
        <v>TÉCNICAS DE CONSTRUÇÃO - I</v>
      </c>
    </row>
    <row r="76">
      <c r="A76" s="21" t="s">
        <v>514</v>
      </c>
      <c r="B76" s="21" t="s">
        <v>515</v>
      </c>
      <c r="C76" s="21" t="s">
        <v>34</v>
      </c>
      <c r="D76" s="21">
        <v>4.0</v>
      </c>
      <c r="E76" s="21">
        <v>60.0</v>
      </c>
      <c r="F76" s="21">
        <v>30.0</v>
      </c>
      <c r="H76" s="22" t="s">
        <v>355</v>
      </c>
      <c r="I76" s="23">
        <f t="shared" si="1"/>
        <v>1</v>
      </c>
      <c r="J76" s="23" t="str">
        <f t="shared" si="2"/>
        <v>
 - DIL01127 - EXPRESSÃO GRÁFICA</v>
      </c>
      <c r="K76" s="23" t="str">
        <f t="shared" si="3"/>
        <v>ACESSIBILIDADE EM SERVIÇOS</v>
      </c>
    </row>
    <row r="77">
      <c r="A77" s="21" t="s">
        <v>358</v>
      </c>
      <c r="B77" s="21" t="s">
        <v>360</v>
      </c>
      <c r="C77" s="21" t="s">
        <v>97</v>
      </c>
      <c r="D77" s="21">
        <v>4.0</v>
      </c>
      <c r="E77" s="21">
        <v>60.0</v>
      </c>
      <c r="F77" s="21">
        <v>6.0</v>
      </c>
      <c r="H77" s="22" t="s">
        <v>355</v>
      </c>
      <c r="I77" s="23">
        <f t="shared" si="1"/>
        <v>0</v>
      </c>
      <c r="J77" s="23" t="str">
        <f t="shared" si="2"/>
        <v/>
      </c>
      <c r="K77" s="23" t="str">
        <f t="shared" si="3"/>
        <v>ANÁLISES GLOBAIS E POLÍTICAS REGIONAIS</v>
      </c>
    </row>
    <row r="78">
      <c r="A78" s="21" t="s">
        <v>363</v>
      </c>
      <c r="B78" s="21" t="s">
        <v>364</v>
      </c>
      <c r="C78" s="21" t="s">
        <v>97</v>
      </c>
      <c r="D78" s="21">
        <v>4.0</v>
      </c>
      <c r="E78" s="21">
        <v>60.0</v>
      </c>
      <c r="F78" s="21">
        <v>0.0</v>
      </c>
      <c r="H78" s="22" t="s">
        <v>355</v>
      </c>
      <c r="I78" s="23">
        <f t="shared" si="1"/>
        <v>0</v>
      </c>
      <c r="J78" s="23" t="str">
        <f t="shared" si="2"/>
        <v/>
      </c>
      <c r="K78" s="23" t="str">
        <f t="shared" si="3"/>
        <v>CIÊNCIA, TECNOLOGIA E SOCIEDADE</v>
      </c>
    </row>
    <row r="79">
      <c r="A79" s="21" t="s">
        <v>522</v>
      </c>
      <c r="B79" s="21" t="s">
        <v>524</v>
      </c>
      <c r="C79" s="21" t="s">
        <v>34</v>
      </c>
      <c r="D79" s="21">
        <v>4.0</v>
      </c>
      <c r="E79" s="21">
        <v>60.0</v>
      </c>
      <c r="F79" s="21">
        <v>0.0</v>
      </c>
      <c r="H79" s="22" t="s">
        <v>355</v>
      </c>
      <c r="I79" s="23">
        <f t="shared" si="1"/>
        <v>1</v>
      </c>
      <c r="J79" s="23" t="str">
        <f t="shared" si="2"/>
        <v>
 - DIL01188 - ESTRATÉGIA EM SERVIÇOS</v>
      </c>
      <c r="K79" s="23" t="str">
        <f t="shared" si="3"/>
        <v>DEMANDA E CAPACIDADE EM SERVIÇOS</v>
      </c>
    </row>
    <row r="80">
      <c r="A80" s="21" t="s">
        <v>528</v>
      </c>
      <c r="B80" s="21" t="s">
        <v>529</v>
      </c>
      <c r="C80" s="21" t="s">
        <v>34</v>
      </c>
      <c r="D80" s="21">
        <v>4.0</v>
      </c>
      <c r="E80" s="21">
        <v>60.0</v>
      </c>
      <c r="F80" s="21">
        <v>0.0</v>
      </c>
      <c r="H80" s="22" t="s">
        <v>355</v>
      </c>
      <c r="I80" s="23">
        <f t="shared" si="1"/>
        <v>2</v>
      </c>
      <c r="J80" s="23" t="str">
        <f t="shared" si="2"/>
        <v>
 - DIL01182 - MATERIAIS DE CONSTRUÇÃO
 - e DIL01187 - TÉCNICAS DE CONSTRUÇÃO - I</v>
      </c>
      <c r="K80" s="23" t="str">
        <f t="shared" si="3"/>
        <v>DESEMPENHO DAS EDIFICAÇÕES I: ENERGIA</v>
      </c>
    </row>
    <row r="81">
      <c r="A81" s="21" t="s">
        <v>377</v>
      </c>
      <c r="B81" s="21" t="s">
        <v>378</v>
      </c>
      <c r="C81" s="21" t="s">
        <v>34</v>
      </c>
      <c r="D81" s="21">
        <v>4.0</v>
      </c>
      <c r="E81" s="21">
        <v>60.0</v>
      </c>
      <c r="F81" s="21">
        <v>0.0</v>
      </c>
      <c r="H81" s="22" t="s">
        <v>355</v>
      </c>
      <c r="I81" s="23">
        <f t="shared" si="1"/>
        <v>1</v>
      </c>
      <c r="J81" s="23" t="str">
        <f t="shared" si="2"/>
        <v>
 - DIL01112 - ESTATÍSTICA I</v>
      </c>
      <c r="K81" s="23" t="str">
        <f t="shared" si="3"/>
        <v>ENGENHARIA ECONÔMICA</v>
      </c>
    </row>
    <row r="82">
      <c r="A82" s="21" t="s">
        <v>384</v>
      </c>
      <c r="B82" s="21" t="s">
        <v>385</v>
      </c>
      <c r="C82" s="21" t="s">
        <v>97</v>
      </c>
      <c r="D82" s="21">
        <v>4.0</v>
      </c>
      <c r="E82" s="21">
        <v>60.0</v>
      </c>
      <c r="F82" s="21">
        <v>0.0</v>
      </c>
      <c r="H82" s="22" t="s">
        <v>355</v>
      </c>
      <c r="I82" s="23">
        <f t="shared" si="1"/>
        <v>2</v>
      </c>
      <c r="J82" s="23" t="str">
        <f t="shared" si="2"/>
        <v>
 - DIL01135 - EQUAÇÕES DIFERENCIAIS
 - e DIL01152 - MÁQUINAS TÉRMICAS</v>
      </c>
      <c r="K82" s="23" t="str">
        <f t="shared" si="3"/>
        <v>FENÔMENOS DE TRANSPORTE A</v>
      </c>
    </row>
    <row r="83">
      <c r="A83" s="21" t="s">
        <v>533</v>
      </c>
      <c r="B83" s="21" t="s">
        <v>534</v>
      </c>
      <c r="C83" s="21" t="s">
        <v>97</v>
      </c>
      <c r="D83" s="21">
        <v>6.0</v>
      </c>
      <c r="E83" s="21">
        <v>90.0</v>
      </c>
      <c r="F83" s="21">
        <v>15.0</v>
      </c>
      <c r="H83" s="22" t="s">
        <v>355</v>
      </c>
      <c r="I83" s="23">
        <f t="shared" si="1"/>
        <v>3</v>
      </c>
      <c r="J83" s="23" t="str">
        <f t="shared" si="2"/>
        <v>
 - DIL01066 - GEOGRAFIA AGRÁRIA - A
 - e DIL01070 - GEOGRAFIA URBANA A
 - e DIL01153 - GEOGRAFIA ECONÔMICA E HUMANA A</v>
      </c>
      <c r="K83" s="23" t="str">
        <f t="shared" si="3"/>
        <v>GEOGRAFIA DO BRASIL A</v>
      </c>
    </row>
    <row r="84">
      <c r="A84" s="21" t="s">
        <v>535</v>
      </c>
      <c r="B84" s="21" t="s">
        <v>536</v>
      </c>
      <c r="C84" s="21" t="s">
        <v>97</v>
      </c>
      <c r="D84" s="21">
        <v>6.0</v>
      </c>
      <c r="E84" s="21">
        <v>90.0</v>
      </c>
      <c r="F84" s="21">
        <v>15.0</v>
      </c>
      <c r="H84" s="22" t="s">
        <v>355</v>
      </c>
      <c r="I84" s="23">
        <f t="shared" si="1"/>
        <v>0</v>
      </c>
      <c r="J84" s="23" t="str">
        <f t="shared" si="2"/>
        <v/>
      </c>
      <c r="K84" s="23" t="str">
        <f t="shared" si="3"/>
        <v>GEOGRAFIA POLÍTICA A</v>
      </c>
    </row>
    <row r="85">
      <c r="A85" s="21" t="s">
        <v>390</v>
      </c>
      <c r="B85" s="21" t="s">
        <v>391</v>
      </c>
      <c r="C85" s="21" t="s">
        <v>97</v>
      </c>
      <c r="D85" s="21">
        <v>4.0</v>
      </c>
      <c r="E85" s="21">
        <v>60.0</v>
      </c>
      <c r="F85" s="21">
        <v>12.0</v>
      </c>
      <c r="H85" s="22" t="s">
        <v>355</v>
      </c>
      <c r="I85" s="23">
        <f t="shared" si="1"/>
        <v>0</v>
      </c>
      <c r="J85" s="23" t="str">
        <f t="shared" si="2"/>
        <v/>
      </c>
      <c r="K85" s="23" t="str">
        <f t="shared" si="3"/>
        <v>GESTÃO E PLANEJAMENTO PARA O DESENVOLVIMENTO REGIONAL</v>
      </c>
    </row>
    <row r="86">
      <c r="A86" s="21" t="s">
        <v>403</v>
      </c>
      <c r="B86" s="21" t="s">
        <v>405</v>
      </c>
      <c r="C86" s="21" t="s">
        <v>97</v>
      </c>
      <c r="D86" s="21">
        <v>2.0</v>
      </c>
      <c r="E86" s="21">
        <v>30.0</v>
      </c>
      <c r="F86" s="21">
        <v>5.0</v>
      </c>
      <c r="H86" s="22" t="s">
        <v>355</v>
      </c>
      <c r="I86" s="23">
        <f t="shared" si="1"/>
        <v>2</v>
      </c>
      <c r="J86" s="23" t="str">
        <f t="shared" si="2"/>
        <v>
 - DIL01135 - EQUAÇÕES DIFERENCIAIS
 - e DIL01152 - MÁQUINAS TÉRMICAS</v>
      </c>
      <c r="K86" s="23" t="str">
        <f t="shared" si="3"/>
        <v>LABORATÓRIO DE FENÔMENOS DE TRANSPORTE - A</v>
      </c>
    </row>
    <row r="87">
      <c r="A87" s="21" t="s">
        <v>343</v>
      </c>
      <c r="B87" s="21" t="s">
        <v>344</v>
      </c>
      <c r="C87" s="21" t="s">
        <v>34</v>
      </c>
      <c r="D87" s="21">
        <v>4.0</v>
      </c>
      <c r="E87" s="21">
        <v>60.0</v>
      </c>
      <c r="F87" s="21">
        <v>0.0</v>
      </c>
      <c r="H87" s="22" t="s">
        <v>355</v>
      </c>
      <c r="I87" s="23">
        <f t="shared" si="1"/>
        <v>2</v>
      </c>
      <c r="J87" s="23" t="str">
        <f t="shared" si="2"/>
        <v>
 - DIL01112 - ESTATÍSTICA I
 - e DIL01113 - CÁLCULO DIFERENCIAL E INTEGRAL I</v>
      </c>
      <c r="K87" s="23" t="str">
        <f t="shared" si="3"/>
        <v>PESQUISA OPERACIONAL</v>
      </c>
    </row>
    <row r="88">
      <c r="A88" s="21" t="s">
        <v>409</v>
      </c>
      <c r="B88" s="21" t="s">
        <v>410</v>
      </c>
      <c r="C88" s="21" t="s">
        <v>97</v>
      </c>
      <c r="D88" s="21">
        <v>4.0</v>
      </c>
      <c r="E88" s="21">
        <v>60.0</v>
      </c>
      <c r="F88" s="21">
        <v>6.0</v>
      </c>
      <c r="H88" s="22" t="s">
        <v>355</v>
      </c>
      <c r="I88" s="23">
        <f t="shared" si="1"/>
        <v>0</v>
      </c>
      <c r="J88" s="23" t="str">
        <f t="shared" si="2"/>
        <v/>
      </c>
      <c r="K88" s="23" t="str">
        <f t="shared" si="3"/>
        <v>SISTEMAS COMPLEXOS E DESENVOLVIMENTO REGIONAL</v>
      </c>
    </row>
    <row r="89">
      <c r="A89" s="21" t="s">
        <v>537</v>
      </c>
      <c r="B89" s="21" t="s">
        <v>538</v>
      </c>
      <c r="C89" s="21" t="s">
        <v>34</v>
      </c>
      <c r="D89" s="21">
        <v>4.0</v>
      </c>
      <c r="E89" s="21">
        <v>60.0</v>
      </c>
      <c r="F89" s="21">
        <v>0.0</v>
      </c>
      <c r="H89" s="22" t="s">
        <v>355</v>
      </c>
      <c r="I89" s="23">
        <f t="shared" si="1"/>
        <v>2</v>
      </c>
      <c r="J89" s="23" t="str">
        <f t="shared" si="2"/>
        <v>
 - DIL01182 - MATERIAIS DE CONSTRUÇÃO
 - e DIL01187 - TÉCNICAS DE CONSTRUÇÃO - I</v>
      </c>
      <c r="K89" s="23" t="str">
        <f t="shared" si="3"/>
        <v>TÉCNICAS DE CONSTRUÇÃO II</v>
      </c>
    </row>
    <row r="90">
      <c r="A90" s="21" t="s">
        <v>539</v>
      </c>
      <c r="B90" s="21" t="s">
        <v>540</v>
      </c>
      <c r="C90" s="21" t="s">
        <v>97</v>
      </c>
      <c r="D90" s="21">
        <v>4.0</v>
      </c>
      <c r="E90" s="21">
        <v>60.0</v>
      </c>
      <c r="F90" s="21">
        <v>0.0</v>
      </c>
      <c r="H90" s="22" t="s">
        <v>417</v>
      </c>
      <c r="I90" s="23">
        <f t="shared" si="1"/>
        <v>1</v>
      </c>
      <c r="J90" s="23" t="str">
        <f t="shared" si="2"/>
        <v>
 - DIL01180 - MARKETING E SATISFAÇÃO DO CLIENTE EM SERVIÇOS</v>
      </c>
      <c r="K90" s="23" t="str">
        <f t="shared" si="3"/>
        <v>COMPORTAMENTO DO CONSUMIDOR - CLN</v>
      </c>
    </row>
    <row r="91">
      <c r="A91" s="21" t="s">
        <v>541</v>
      </c>
      <c r="B91" s="21" t="s">
        <v>542</v>
      </c>
      <c r="C91" s="21" t="s">
        <v>34</v>
      </c>
      <c r="D91" s="21">
        <v>4.0</v>
      </c>
      <c r="E91" s="21">
        <v>60.0</v>
      </c>
      <c r="F91" s="21">
        <v>0.0</v>
      </c>
      <c r="H91" s="22" t="s">
        <v>417</v>
      </c>
      <c r="I91" s="23">
        <f t="shared" si="1"/>
        <v>1</v>
      </c>
      <c r="J91" s="23" t="str">
        <f t="shared" si="2"/>
        <v>
 - DIL01186 - DESEMPENHO DAS EDIFICAÇÕES I: ENERGIA</v>
      </c>
      <c r="K91" s="23" t="str">
        <f t="shared" si="3"/>
        <v>DESEMPENHO DAS EDIFICAÇÕES II: CLIMATIZAÇÃO E ACÚSTICA</v>
      </c>
    </row>
    <row r="92">
      <c r="A92" s="21" t="s">
        <v>543</v>
      </c>
      <c r="B92" s="21" t="s">
        <v>544</v>
      </c>
      <c r="C92" s="21" t="s">
        <v>34</v>
      </c>
      <c r="D92" s="21">
        <v>4.0</v>
      </c>
      <c r="E92" s="21">
        <v>60.0</v>
      </c>
      <c r="F92" s="21">
        <v>15.0</v>
      </c>
      <c r="H92" s="22" t="s">
        <v>417</v>
      </c>
      <c r="I92" s="23">
        <f t="shared" si="1"/>
        <v>1</v>
      </c>
      <c r="J92" s="23" t="str">
        <f t="shared" si="2"/>
        <v>
 - DIL01112 - ESTATÍSTICA I</v>
      </c>
      <c r="K92" s="23" t="str">
        <f t="shared" si="3"/>
        <v>ESTOQUES E FILAS EM SERVIÇOS</v>
      </c>
    </row>
    <row r="93">
      <c r="A93" s="21" t="s">
        <v>545</v>
      </c>
      <c r="B93" s="21" t="s">
        <v>546</v>
      </c>
      <c r="C93" s="21" t="s">
        <v>97</v>
      </c>
      <c r="D93" s="21">
        <v>4.0</v>
      </c>
      <c r="E93" s="21">
        <v>60.0</v>
      </c>
      <c r="F93" s="21">
        <v>0.0</v>
      </c>
      <c r="H93" s="22" t="s">
        <v>417</v>
      </c>
      <c r="I93" s="23">
        <f t="shared" si="1"/>
        <v>0</v>
      </c>
      <c r="J93" s="23" t="str">
        <f t="shared" si="2"/>
        <v/>
      </c>
      <c r="K93" s="23" t="str">
        <f t="shared" si="3"/>
        <v>GESTÃO DO CONHECIMENTO</v>
      </c>
    </row>
    <row r="94">
      <c r="A94" s="21" t="s">
        <v>547</v>
      </c>
      <c r="B94" s="21" t="s">
        <v>548</v>
      </c>
      <c r="C94" s="21" t="s">
        <v>34</v>
      </c>
      <c r="D94" s="21">
        <v>4.0</v>
      </c>
      <c r="E94" s="21">
        <v>60.0</v>
      </c>
      <c r="F94" s="21">
        <v>15.0</v>
      </c>
      <c r="H94" s="22" t="s">
        <v>417</v>
      </c>
      <c r="I94" s="23">
        <f t="shared" si="1"/>
        <v>1</v>
      </c>
      <c r="J94" s="23" t="str">
        <f t="shared" si="2"/>
        <v>
 - DIL01089 - FUNDAMENTOS E ORGANIZAÇÃO DE EMPRESAS DE SERVIÇOS</v>
      </c>
      <c r="K94" s="23" t="str">
        <f t="shared" si="3"/>
        <v>MELHORIA DE PROCESSOS</v>
      </c>
    </row>
    <row r="95">
      <c r="A95" s="21" t="s">
        <v>549</v>
      </c>
      <c r="B95" s="21" t="s">
        <v>550</v>
      </c>
      <c r="C95" s="21" t="s">
        <v>34</v>
      </c>
      <c r="D95" s="21">
        <v>4.0</v>
      </c>
      <c r="E95" s="21">
        <v>60.0</v>
      </c>
      <c r="F95" s="21">
        <v>15.0</v>
      </c>
      <c r="H95" s="22" t="s">
        <v>417</v>
      </c>
      <c r="I95" s="23">
        <f t="shared" si="1"/>
        <v>1</v>
      </c>
      <c r="J95" s="23" t="str">
        <f t="shared" si="2"/>
        <v>
 - DIL01059 - ACESSIBILIDADE EM SERVIÇOS</v>
      </c>
      <c r="K95" s="23" t="str">
        <f t="shared" si="3"/>
        <v>PLANEJAMENTO E LAYOUT DAS INSTALAÇÕES</v>
      </c>
    </row>
    <row r="96">
      <c r="A96" s="21" t="s">
        <v>551</v>
      </c>
      <c r="B96" s="21" t="s">
        <v>552</v>
      </c>
      <c r="C96" s="21" t="s">
        <v>34</v>
      </c>
      <c r="D96" s="21">
        <v>4.0</v>
      </c>
      <c r="E96" s="21">
        <v>60.0</v>
      </c>
      <c r="F96" s="21">
        <v>0.0</v>
      </c>
      <c r="H96" s="22" t="s">
        <v>417</v>
      </c>
      <c r="I96" s="23">
        <f t="shared" si="1"/>
        <v>1</v>
      </c>
      <c r="J96" s="23" t="str">
        <f t="shared" si="2"/>
        <v>
 - DIL01363 - ALGORITMOS E PROGRAMAÇÃO</v>
      </c>
      <c r="K96" s="23" t="str">
        <f t="shared" si="3"/>
        <v>PROGRAMAÇÃO APLICADA</v>
      </c>
    </row>
    <row r="97">
      <c r="A97" s="21" t="s">
        <v>553</v>
      </c>
      <c r="B97" s="21" t="s">
        <v>554</v>
      </c>
      <c r="C97" s="21" t="s">
        <v>34</v>
      </c>
      <c r="D97" s="21">
        <v>4.0</v>
      </c>
      <c r="E97" s="21">
        <v>60.0</v>
      </c>
      <c r="F97" s="21">
        <v>60.0</v>
      </c>
      <c r="I97" s="23">
        <f t="shared" si="1"/>
        <v>3</v>
      </c>
      <c r="J97" s="23" t="str">
        <f t="shared" si="2"/>
        <v>
 - DIL01090 - PROJETO INTEGRADOR 2: CONCEPÇÃO E DESENVOLVIMENTO DE SERVIÇOS
 - e DIL01179 - PROJETO INTEGRADOR 1: DIAGNÓSTICO DO SETOR DE SERVIÇO DA REGIÃO
 - e DIL01231 - DEMANDA E CAPACIDADE EM SERVIÇOS</v>
      </c>
      <c r="K97" s="23" t="str">
        <f t="shared" si="3"/>
        <v>PROJETO INTEGRADOR 3: PLANEJAMENTO ESTRATÉGICO, DEMANDA E CAPACIDADE</v>
      </c>
    </row>
    <row r="98">
      <c r="A98" s="21" t="s">
        <v>555</v>
      </c>
      <c r="B98" s="21" t="s">
        <v>556</v>
      </c>
      <c r="C98" s="21" t="s">
        <v>34</v>
      </c>
      <c r="D98" s="21">
        <v>4.0</v>
      </c>
      <c r="E98" s="21">
        <v>60.0</v>
      </c>
      <c r="F98" s="21">
        <v>0.0</v>
      </c>
      <c r="I98" s="23">
        <f t="shared" si="1"/>
        <v>1</v>
      </c>
      <c r="J98" s="23" t="str">
        <f t="shared" si="2"/>
        <v>
 - DIL01158 - ADMINISTRAÇÃO</v>
      </c>
      <c r="K98" s="23" t="str">
        <f t="shared" si="3"/>
        <v>RELAÇÕES DE FORNECIMENTO E LOGÍSTICA</v>
      </c>
    </row>
    <row r="99">
      <c r="A99" s="21" t="s">
        <v>557</v>
      </c>
      <c r="B99" s="21" t="s">
        <v>558</v>
      </c>
      <c r="C99" s="21" t="s">
        <v>34</v>
      </c>
      <c r="D99" s="21">
        <v>4.0</v>
      </c>
      <c r="E99" s="21">
        <v>60.0</v>
      </c>
      <c r="F99" s="21">
        <v>0.0</v>
      </c>
      <c r="I99" s="23">
        <f t="shared" si="1"/>
        <v>1</v>
      </c>
      <c r="J99" s="23" t="str">
        <f t="shared" si="2"/>
        <v>
 - DIL01190 - ENGENHARIA ECONÔMICA</v>
      </c>
      <c r="K99" s="23" t="str">
        <f t="shared" si="3"/>
        <v>CUSTEIO E PRECIFICAÇÃO</v>
      </c>
    </row>
    <row r="100">
      <c r="A100" s="21" t="s">
        <v>559</v>
      </c>
      <c r="B100" s="21" t="s">
        <v>560</v>
      </c>
      <c r="C100" s="21" t="s">
        <v>34</v>
      </c>
      <c r="D100" s="21">
        <v>2.0</v>
      </c>
      <c r="E100" s="21">
        <v>30.0</v>
      </c>
      <c r="F100" s="21">
        <v>0.0</v>
      </c>
      <c r="I100" s="23">
        <f t="shared" si="1"/>
        <v>1</v>
      </c>
      <c r="J100" s="23" t="str">
        <f t="shared" si="2"/>
        <v>
 - DIL01366 - TÉCNICAS DE CONSTRUÇÃO II</v>
      </c>
      <c r="K100" s="23" t="str">
        <f t="shared" si="3"/>
        <v>DESEMPENHO DAS EDIFICAÇÕES III: INSTALAÇÕES HIDROSSANITÁRIAS PREDIAIS</v>
      </c>
    </row>
    <row r="101">
      <c r="A101" s="21" t="s">
        <v>561</v>
      </c>
      <c r="B101" s="21" t="s">
        <v>562</v>
      </c>
      <c r="C101" s="21" t="s">
        <v>97</v>
      </c>
      <c r="D101" s="21">
        <v>4.0</v>
      </c>
      <c r="E101" s="21">
        <v>60.0</v>
      </c>
      <c r="F101" s="21">
        <v>0.0</v>
      </c>
      <c r="I101" s="23">
        <f t="shared" si="1"/>
        <v>0</v>
      </c>
      <c r="J101" s="23" t="str">
        <f t="shared" si="2"/>
        <v/>
      </c>
      <c r="K101" s="23" t="str">
        <f t="shared" si="3"/>
        <v>GESTÃO DA SEGURANÇA E SAÚDE NO TRABALHO - CLN</v>
      </c>
    </row>
    <row r="102">
      <c r="A102" s="21" t="s">
        <v>565</v>
      </c>
      <c r="B102" s="21" t="s">
        <v>566</v>
      </c>
      <c r="C102" s="21" t="s">
        <v>97</v>
      </c>
      <c r="D102" s="21">
        <v>4.0</v>
      </c>
      <c r="E102" s="21">
        <v>60.0</v>
      </c>
      <c r="F102" s="21">
        <v>0.0</v>
      </c>
      <c r="I102" s="23">
        <f t="shared" si="1"/>
        <v>1</v>
      </c>
      <c r="J102" s="23" t="str">
        <f t="shared" si="2"/>
        <v>
 - DIL01089 - FUNDAMENTOS E ORGANIZAÇÃO DE EMPRESAS DE SERVIÇOS</v>
      </c>
      <c r="K102" s="23" t="str">
        <f t="shared" si="3"/>
        <v>GESTÃO DE PESSOAS - CLN</v>
      </c>
    </row>
    <row r="103">
      <c r="A103" s="21" t="s">
        <v>567</v>
      </c>
      <c r="B103" s="21" t="s">
        <v>568</v>
      </c>
      <c r="C103" s="21" t="s">
        <v>34</v>
      </c>
      <c r="D103" s="21">
        <v>4.0</v>
      </c>
      <c r="E103" s="21">
        <v>60.0</v>
      </c>
      <c r="F103" s="21">
        <v>0.0</v>
      </c>
      <c r="I103" s="23">
        <f t="shared" si="1"/>
        <v>0</v>
      </c>
      <c r="J103" s="23" t="str">
        <f t="shared" si="2"/>
        <v/>
      </c>
      <c r="K103" s="23" t="str">
        <f t="shared" si="3"/>
        <v>GESTÃO DE PROJETOS</v>
      </c>
    </row>
    <row r="104">
      <c r="A104" s="21" t="s">
        <v>569</v>
      </c>
      <c r="B104" s="21" t="s">
        <v>570</v>
      </c>
      <c r="C104" s="21" t="s">
        <v>97</v>
      </c>
      <c r="D104" s="21">
        <v>4.0</v>
      </c>
      <c r="E104" s="21">
        <v>60.0</v>
      </c>
      <c r="F104" s="21">
        <v>0.0</v>
      </c>
      <c r="I104" s="23">
        <f t="shared" si="1"/>
        <v>0</v>
      </c>
      <c r="J104" s="23" t="str">
        <f t="shared" si="2"/>
        <v/>
      </c>
      <c r="K104" s="23" t="str">
        <f t="shared" si="3"/>
        <v>INOVAÇÃO EM SERVIÇOS</v>
      </c>
    </row>
    <row r="105">
      <c r="A105" s="21" t="s">
        <v>571</v>
      </c>
      <c r="B105" s="21" t="s">
        <v>572</v>
      </c>
      <c r="C105" s="21" t="s">
        <v>34</v>
      </c>
      <c r="D105" s="21">
        <v>4.0</v>
      </c>
      <c r="E105" s="21">
        <v>60.0</v>
      </c>
      <c r="F105" s="21">
        <v>60.0</v>
      </c>
      <c r="I105" s="23">
        <f t="shared" si="1"/>
        <v>3</v>
      </c>
      <c r="J105" s="23" t="str">
        <f t="shared" si="2"/>
        <v>
 - DIL01091 - PROJETO INTEGRADOR 3: PLANEJAMENTO ESTRATÉGICO, DEMANDA E CAPACIDADE
 - e DIL01230 - ESTOQUES E FILAS EM SERVIÇOS
 - e DIL01245 - PLANEJAMENTO E LAYOUT DAS INSTALAÇÕES</v>
      </c>
      <c r="K105" s="23" t="str">
        <f t="shared" si="3"/>
        <v>PROJETO INTEGRADOR 4: INSTALAÇÕES FÍSICAS</v>
      </c>
    </row>
    <row r="106">
      <c r="A106" s="21" t="s">
        <v>573</v>
      </c>
      <c r="B106" s="21" t="s">
        <v>574</v>
      </c>
      <c r="C106" s="21" t="s">
        <v>34</v>
      </c>
      <c r="D106" s="21">
        <v>4.0</v>
      </c>
      <c r="E106" s="21">
        <v>60.0</v>
      </c>
      <c r="F106" s="21">
        <v>0.0</v>
      </c>
      <c r="I106" s="23">
        <f t="shared" si="1"/>
        <v>0</v>
      </c>
      <c r="J106" s="23" t="str">
        <f t="shared" si="2"/>
        <v/>
      </c>
      <c r="K106" s="23" t="str">
        <f t="shared" si="3"/>
        <v>SERVIÇOS SUSTENTÁVEIS</v>
      </c>
    </row>
    <row r="107">
      <c r="A107" s="21" t="s">
        <v>575</v>
      </c>
      <c r="B107" s="21" t="s">
        <v>576</v>
      </c>
      <c r="C107" s="21" t="s">
        <v>34</v>
      </c>
      <c r="D107" s="21">
        <v>4.0</v>
      </c>
      <c r="E107" s="21">
        <v>60.0</v>
      </c>
      <c r="F107" s="21">
        <v>0.0</v>
      </c>
      <c r="I107" s="23">
        <f t="shared" si="1"/>
        <v>1</v>
      </c>
      <c r="J107" s="23" t="str">
        <f t="shared" si="2"/>
        <v>
 - DIL01363 - ALGORITMOS E PROGRAMAÇÃO</v>
      </c>
      <c r="K107" s="23" t="str">
        <f t="shared" si="3"/>
        <v>SISTEMAS DE INFORMAÇÃO - CLN</v>
      </c>
    </row>
    <row r="108">
      <c r="A108" s="21" t="s">
        <v>577</v>
      </c>
      <c r="B108" s="21" t="s">
        <v>578</v>
      </c>
      <c r="C108" s="21" t="s">
        <v>34</v>
      </c>
      <c r="D108" s="21">
        <v>4.0</v>
      </c>
      <c r="E108" s="21">
        <v>60.0</v>
      </c>
      <c r="F108" s="21">
        <v>0.0</v>
      </c>
      <c r="I108" s="23">
        <f t="shared" si="1"/>
        <v>2</v>
      </c>
      <c r="J108" s="23" t="str">
        <f t="shared" si="2"/>
        <v>
 - DIL01228 - DESEMPENHO DAS EDIFICAÇÕES II: CLIMATIZAÇÃO E ACÚSTICA
 - e DIL01236 - DESEMPENHO DAS EDIFICAÇÕES III: INSTALAÇÕES HIDROSSANITÁRIAS PREDIAIS</v>
      </c>
      <c r="K108" s="23" t="str">
        <f t="shared" si="3"/>
        <v>DESEMPENHO DAS EDIFICAÇÕES IV: SUSTENTABILIDADE</v>
      </c>
    </row>
    <row r="109">
      <c r="A109" s="21" t="s">
        <v>579</v>
      </c>
      <c r="B109" s="21" t="s">
        <v>580</v>
      </c>
      <c r="C109" s="21" t="s">
        <v>34</v>
      </c>
      <c r="D109" s="21">
        <v>4.0</v>
      </c>
      <c r="E109" s="21">
        <v>60.0</v>
      </c>
      <c r="F109" s="21">
        <v>15.0</v>
      </c>
      <c r="I109" s="23">
        <f t="shared" si="1"/>
        <v>1</v>
      </c>
      <c r="J109" s="23" t="str">
        <f t="shared" si="2"/>
        <v>
 - DIL01366 - TÉCNICAS DE CONSTRUÇÃO II</v>
      </c>
      <c r="K109" s="23" t="str">
        <f t="shared" si="3"/>
        <v>GESTÃO DA CONSTRUÇÃO</v>
      </c>
    </row>
    <row r="110">
      <c r="A110" s="21" t="s">
        <v>491</v>
      </c>
      <c r="B110" s="21" t="s">
        <v>584</v>
      </c>
      <c r="C110" s="21" t="s">
        <v>34</v>
      </c>
      <c r="D110" s="21">
        <v>2.0</v>
      </c>
      <c r="E110" s="21">
        <v>30.0</v>
      </c>
      <c r="F110" s="21">
        <v>0.0</v>
      </c>
      <c r="I110" s="23">
        <f t="shared" si="1"/>
        <v>1</v>
      </c>
      <c r="J110" s="23" t="str">
        <f t="shared" si="2"/>
        <v>
 - DIL01359 - FUNDAMENTOS DE ELETRICIDADE E APLICAÇÕES</v>
      </c>
      <c r="K110" s="23" t="str">
        <f t="shared" si="3"/>
        <v>INSTALAÇÕES ELÉTRICAS DE BAIXA TENSÃO</v>
      </c>
    </row>
    <row r="111">
      <c r="A111" s="21" t="s">
        <v>586</v>
      </c>
      <c r="B111" s="21" t="s">
        <v>587</v>
      </c>
      <c r="C111" s="21" t="s">
        <v>34</v>
      </c>
      <c r="D111" s="21">
        <v>4.0</v>
      </c>
      <c r="E111" s="21">
        <v>60.0</v>
      </c>
      <c r="F111" s="21">
        <v>60.0</v>
      </c>
      <c r="I111" s="23">
        <f t="shared" si="1"/>
        <v>1</v>
      </c>
      <c r="J111" s="23" t="str">
        <f t="shared" si="2"/>
        <v>
 - DIL01190 - ENGENHARIA ECONÔMICA</v>
      </c>
      <c r="K111" s="23" t="str">
        <f t="shared" si="3"/>
        <v>PROJETO INTEGRADOR 5: VIABILIDADE ECONÔMICA</v>
      </c>
    </row>
    <row r="112">
      <c r="A112" s="21" t="s">
        <v>588</v>
      </c>
      <c r="B112" s="21" t="s">
        <v>589</v>
      </c>
      <c r="C112" s="21" t="s">
        <v>97</v>
      </c>
      <c r="D112" s="21">
        <v>4.0</v>
      </c>
      <c r="E112" s="21">
        <v>60.0</v>
      </c>
      <c r="F112" s="21">
        <v>0.0</v>
      </c>
      <c r="I112" s="23">
        <f t="shared" si="1"/>
        <v>2</v>
      </c>
      <c r="J112" s="23" t="str">
        <f t="shared" si="2"/>
        <v>
 - DIL01235 - PROGRAMAÇÃO APLICADA
 - e DIL01242 - SISTEMAS DE INFORMAÇÃO - CLN</v>
      </c>
      <c r="K112" s="23" t="str">
        <f t="shared" si="3"/>
        <v>SERVIÇOS WEB E NUVENS</v>
      </c>
    </row>
    <row r="113">
      <c r="A113" s="21" t="s">
        <v>590</v>
      </c>
      <c r="B113" s="21" t="s">
        <v>591</v>
      </c>
      <c r="C113" s="21" t="s">
        <v>34</v>
      </c>
      <c r="D113" s="21">
        <v>4.0</v>
      </c>
      <c r="E113" s="21">
        <v>60.0</v>
      </c>
      <c r="F113" s="21">
        <v>15.0</v>
      </c>
      <c r="I113" s="23">
        <f t="shared" si="1"/>
        <v>1</v>
      </c>
      <c r="J113" s="23" t="str">
        <f t="shared" si="2"/>
        <v>
 - DIL01235 - PROGRAMAÇÃO APLICADA</v>
      </c>
      <c r="K113" s="23" t="str">
        <f t="shared" si="3"/>
        <v>SIMULAÇÃO DE OPERAÇÕES</v>
      </c>
    </row>
    <row r="114">
      <c r="A114" s="21" t="s">
        <v>593</v>
      </c>
      <c r="B114" s="21" t="s">
        <v>594</v>
      </c>
      <c r="C114" s="21" t="s">
        <v>97</v>
      </c>
      <c r="D114" s="21">
        <v>4.0</v>
      </c>
      <c r="E114" s="21">
        <v>60.0</v>
      </c>
      <c r="F114" s="21">
        <v>0.0</v>
      </c>
      <c r="I114" s="23">
        <f t="shared" si="1"/>
        <v>1</v>
      </c>
      <c r="J114" s="23" t="str">
        <f t="shared" si="2"/>
        <v>
 - DIL01178 - QUALIDADE EM SERVIÇOS</v>
      </c>
      <c r="K114" s="23" t="str">
        <f t="shared" si="3"/>
        <v>SISTEMAS DE GARANTIA DA QUALIDADE - CLN</v>
      </c>
    </row>
    <row r="115">
      <c r="A115" s="21" t="s">
        <v>595</v>
      </c>
      <c r="B115" s="21" t="s">
        <v>596</v>
      </c>
      <c r="C115" s="21" t="s">
        <v>97</v>
      </c>
      <c r="D115" s="21">
        <v>4.0</v>
      </c>
      <c r="E115" s="21">
        <v>60.0</v>
      </c>
      <c r="F115" s="21">
        <v>0.0</v>
      </c>
      <c r="I115" s="23">
        <f t="shared" si="1"/>
        <v>0</v>
      </c>
      <c r="J115" s="23" t="str">
        <f t="shared" si="2"/>
        <v/>
      </c>
      <c r="K115" s="23" t="str">
        <f t="shared" si="3"/>
        <v>TÓPICOS ESPECIAIS EM ENGENHARIA DE SERVIÇOS</v>
      </c>
    </row>
    <row r="116">
      <c r="A116" s="21" t="s">
        <v>598</v>
      </c>
      <c r="B116" s="21" t="s">
        <v>600</v>
      </c>
      <c r="C116" s="21" t="s">
        <v>97</v>
      </c>
      <c r="D116" s="21">
        <v>4.0</v>
      </c>
      <c r="E116" s="21">
        <v>60.0</v>
      </c>
      <c r="F116" s="21">
        <v>0.0</v>
      </c>
      <c r="I116" s="23">
        <f t="shared" si="1"/>
        <v>0</v>
      </c>
      <c r="J116" s="23" t="str">
        <f t="shared" si="2"/>
        <v/>
      </c>
      <c r="K116" s="23" t="str">
        <f t="shared" si="3"/>
        <v>AVALIAÇÃO DE INFRAESTRUTURA CIVIL NA PRESTAÇÃO E OTIMIZAÇÃO DE SERVIÇOS</v>
      </c>
    </row>
    <row r="117">
      <c r="A117" s="21" t="s">
        <v>516</v>
      </c>
      <c r="B117" s="21" t="s">
        <v>517</v>
      </c>
      <c r="C117" s="21" t="s">
        <v>97</v>
      </c>
      <c r="D117" s="21">
        <v>2.0</v>
      </c>
      <c r="E117" s="21">
        <v>30.0</v>
      </c>
      <c r="F117" s="21">
        <v>15.0</v>
      </c>
      <c r="I117" s="23">
        <f t="shared" si="1"/>
        <v>0</v>
      </c>
      <c r="J117" s="23" t="str">
        <f t="shared" si="2"/>
        <v/>
      </c>
      <c r="K117" s="23" t="str">
        <f t="shared" si="3"/>
        <v>ENGENHARIA DE SEGURANÇA DO TRABALHO</v>
      </c>
    </row>
    <row r="118">
      <c r="B118" s="21" t="s">
        <v>602</v>
      </c>
      <c r="C118" s="21" t="s">
        <v>34</v>
      </c>
      <c r="D118" s="21">
        <v>0.0</v>
      </c>
      <c r="E118" s="21">
        <v>160.0</v>
      </c>
      <c r="F118" s="21">
        <v>0.0</v>
      </c>
      <c r="I118" s="23">
        <f t="shared" si="1"/>
        <v>1</v>
      </c>
      <c r="J118" s="23" t="str">
        <f t="shared" si="2"/>
        <v>
 - Créditos Obrigatórios - 160</v>
      </c>
      <c r="K118" s="23" t="str">
        <f t="shared" si="3"/>
        <v>ESTÁGIO CURRICULAR OBRIGATÓRIO PARA ENGENHARIA DE SERVIÇOS</v>
      </c>
    </row>
    <row r="119">
      <c r="A119" s="21" t="s">
        <v>518</v>
      </c>
      <c r="B119" s="21" t="s">
        <v>519</v>
      </c>
      <c r="C119" s="21" t="s">
        <v>97</v>
      </c>
      <c r="D119" s="21">
        <v>2.0</v>
      </c>
      <c r="E119" s="21">
        <v>30.0</v>
      </c>
      <c r="F119" s="21">
        <v>0.0</v>
      </c>
      <c r="I119" s="23">
        <f t="shared" si="1"/>
        <v>0</v>
      </c>
      <c r="J119" s="23" t="str">
        <f t="shared" si="2"/>
        <v/>
      </c>
      <c r="K119" s="23" t="str">
        <f t="shared" si="3"/>
        <v>ÉTICA E EXERCÍCIO PROFISSIONAL EM ENGENHARIA</v>
      </c>
    </row>
    <row r="120">
      <c r="A120" s="21" t="s">
        <v>604</v>
      </c>
      <c r="B120" s="21" t="s">
        <v>605</v>
      </c>
      <c r="C120" s="21" t="s">
        <v>34</v>
      </c>
      <c r="D120" s="21">
        <v>4.0</v>
      </c>
      <c r="E120" s="21">
        <v>60.0</v>
      </c>
      <c r="F120" s="21">
        <v>0.0</v>
      </c>
      <c r="I120" s="23">
        <f t="shared" si="1"/>
        <v>2</v>
      </c>
      <c r="J120" s="23" t="str">
        <f t="shared" si="2"/>
        <v>
 - DIL01245 - PLANEJAMENTO E LAYOUT DAS INSTALAÇÕES
 - e DIL01246 - PROJETO INTEGRADOR 4: INSTALAÇÕES FÍSICAS</v>
      </c>
      <c r="K120" s="23" t="str">
        <f t="shared" si="3"/>
        <v>OPERAÇÃO E MANUTENÇÃO DE INSTALAÇÕES</v>
      </c>
    </row>
    <row r="121">
      <c r="A121" s="21" t="s">
        <v>607</v>
      </c>
      <c r="B121" s="21" t="s">
        <v>609</v>
      </c>
      <c r="C121" s="21" t="s">
        <v>34</v>
      </c>
      <c r="D121" s="21">
        <v>4.0</v>
      </c>
      <c r="E121" s="21">
        <v>60.0</v>
      </c>
      <c r="F121" s="21">
        <v>60.0</v>
      </c>
      <c r="I121" s="23">
        <f t="shared" si="1"/>
        <v>1</v>
      </c>
      <c r="J121" s="23" t="str">
        <f t="shared" si="2"/>
        <v>
 - DIL01246 - PROJETO INTEGRADOR 4: INSTALAÇÕES FÍSICAS</v>
      </c>
      <c r="K121" s="23" t="str">
        <f t="shared" si="3"/>
        <v>PROJETO INTEGRADOR 6: ANÁLISES DAS OPERAÇÕES</v>
      </c>
    </row>
    <row r="122">
      <c r="A122" s="21" t="s">
        <v>612</v>
      </c>
      <c r="B122" s="21" t="s">
        <v>613</v>
      </c>
      <c r="C122" s="21" t="s">
        <v>34</v>
      </c>
      <c r="D122" s="21">
        <v>2.0</v>
      </c>
      <c r="E122" s="21">
        <v>30.0</v>
      </c>
      <c r="F122" s="21">
        <v>0.0</v>
      </c>
      <c r="I122" s="23">
        <f t="shared" si="1"/>
        <v>0</v>
      </c>
      <c r="J122" s="23" t="str">
        <f t="shared" si="2"/>
        <v/>
      </c>
      <c r="K122" s="23" t="str">
        <f t="shared" si="3"/>
        <v>TOPICOS JURÍDICOS E SOCIAIS - EAD</v>
      </c>
    </row>
    <row r="123">
      <c r="B123" s="21" t="s">
        <v>617</v>
      </c>
      <c r="C123" s="21" t="s">
        <v>34</v>
      </c>
      <c r="D123" s="21">
        <v>0.0</v>
      </c>
      <c r="E123" s="21">
        <v>90.0</v>
      </c>
      <c r="F123" s="21">
        <v>0.0</v>
      </c>
      <c r="I123" s="23">
        <f t="shared" si="1"/>
        <v>1</v>
      </c>
      <c r="J123" s="23" t="str">
        <f t="shared" si="2"/>
        <v>
 - Créditos Obrigatórios - 208</v>
      </c>
      <c r="K123" s="23" t="str">
        <f t="shared" si="3"/>
        <v>TRABALHO DE CONCLUSÃO DE CURSO DE ENGENHARIA DE SERVIÇOS</v>
      </c>
    </row>
  </sheetData>
  <autoFilter ref="$A$1:$Y$12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10" max="10" width="27.13"/>
    <col customWidth="1" min="11" max="11" width="35.7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8" t="s">
        <v>22</v>
      </c>
      <c r="H1" s="6" t="s">
        <v>7</v>
      </c>
      <c r="I1" s="6" t="s">
        <v>8</v>
      </c>
      <c r="J1" s="20" t="s">
        <v>10</v>
      </c>
      <c r="K1" s="20" t="s">
        <v>11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">
        <v>33</v>
      </c>
      <c r="B2" s="21" t="s">
        <v>36</v>
      </c>
      <c r="C2" s="21" t="s">
        <v>34</v>
      </c>
      <c r="D2" s="21">
        <v>3.0</v>
      </c>
      <c r="E2" s="21">
        <v>45.0</v>
      </c>
      <c r="F2" s="21">
        <v>6.0</v>
      </c>
      <c r="H2" s="22" t="s">
        <v>39</v>
      </c>
      <c r="I2" s="24">
        <f t="shared" ref="I2:I97" si="1">len(B2)-len(substitute(B2,char(10),""))</f>
        <v>0</v>
      </c>
      <c r="J2" s="27" t="str">
        <f t="shared" ref="J2:J97" si="2">IF(I2&gt;0,MID(B2,FIND(CHAR(10),B2),999),"")</f>
        <v/>
      </c>
      <c r="K2" s="27" t="str">
        <f t="shared" ref="K2:K97" si="3">substitute(B2,J2,"")</f>
        <v>DINÂMICAS E CONCEITOS DO ESPAÇO - TEMPORAL E SOCIAL</v>
      </c>
    </row>
    <row r="3">
      <c r="A3" s="21" t="s">
        <v>67</v>
      </c>
      <c r="B3" s="21" t="s">
        <v>68</v>
      </c>
      <c r="C3" s="21" t="s">
        <v>34</v>
      </c>
      <c r="D3" s="21">
        <v>3.0</v>
      </c>
      <c r="E3" s="21">
        <v>45.0</v>
      </c>
      <c r="F3" s="21">
        <v>0.0</v>
      </c>
      <c r="H3" s="22" t="s">
        <v>39</v>
      </c>
      <c r="I3" s="24">
        <f t="shared" si="1"/>
        <v>0</v>
      </c>
      <c r="J3" s="27" t="str">
        <f t="shared" si="2"/>
        <v/>
      </c>
      <c r="K3" s="27" t="str">
        <f t="shared" si="3"/>
        <v>INTRODUÇÃO À DINÂMICA E AOS PROCESSOS DA NATUREZA - A</v>
      </c>
    </row>
    <row r="4">
      <c r="A4" s="21" t="s">
        <v>72</v>
      </c>
      <c r="B4" s="21" t="s">
        <v>73</v>
      </c>
      <c r="C4" s="21" t="s">
        <v>34</v>
      </c>
      <c r="D4" s="21">
        <v>2.0</v>
      </c>
      <c r="E4" s="21">
        <v>30.0</v>
      </c>
      <c r="F4" s="21">
        <v>0.0</v>
      </c>
      <c r="H4" s="22" t="s">
        <v>39</v>
      </c>
      <c r="I4" s="24">
        <f t="shared" si="1"/>
        <v>0</v>
      </c>
      <c r="J4" s="27" t="str">
        <f t="shared" si="2"/>
        <v/>
      </c>
      <c r="K4" s="27" t="str">
        <f t="shared" si="3"/>
        <v>INTRODUÇÃO À TECNOLOGIA DA INFORMAÇÃO E COMUNICAÇÃO</v>
      </c>
    </row>
    <row r="5">
      <c r="A5" s="21" t="s">
        <v>77</v>
      </c>
      <c r="B5" s="21" t="s">
        <v>78</v>
      </c>
      <c r="C5" s="21" t="s">
        <v>34</v>
      </c>
      <c r="D5" s="21">
        <v>4.0</v>
      </c>
      <c r="E5" s="21">
        <v>60.0</v>
      </c>
      <c r="F5" s="21">
        <v>0.0</v>
      </c>
      <c r="H5" s="22" t="s">
        <v>39</v>
      </c>
      <c r="I5" s="24">
        <f t="shared" si="1"/>
        <v>0</v>
      </c>
      <c r="J5" s="27" t="str">
        <f t="shared" si="2"/>
        <v/>
      </c>
      <c r="K5" s="27" t="str">
        <f t="shared" si="3"/>
        <v>LEITURA E PRODUÇÃO TEXTUAL - A</v>
      </c>
    </row>
    <row r="6">
      <c r="A6" s="21" t="s">
        <v>85</v>
      </c>
      <c r="B6" s="21" t="s">
        <v>86</v>
      </c>
      <c r="C6" s="21" t="s">
        <v>34</v>
      </c>
      <c r="D6" s="21">
        <v>3.0</v>
      </c>
      <c r="E6" s="21">
        <v>45.0</v>
      </c>
      <c r="F6" s="21">
        <v>0.0</v>
      </c>
      <c r="H6" s="22" t="s">
        <v>39</v>
      </c>
      <c r="I6" s="24">
        <f t="shared" si="1"/>
        <v>0</v>
      </c>
      <c r="J6" s="27" t="str">
        <f t="shared" si="2"/>
        <v/>
      </c>
      <c r="K6" s="27" t="str">
        <f t="shared" si="3"/>
        <v>METODOLOGIA DA CIÊNCIA</v>
      </c>
    </row>
    <row r="7">
      <c r="A7" s="21" t="s">
        <v>82</v>
      </c>
      <c r="B7" s="21" t="s">
        <v>83</v>
      </c>
      <c r="C7" s="21" t="s">
        <v>34</v>
      </c>
      <c r="D7" s="21">
        <v>4.0</v>
      </c>
      <c r="E7" s="21">
        <v>60.0</v>
      </c>
      <c r="F7" s="21">
        <v>0.0</v>
      </c>
      <c r="H7" s="22" t="s">
        <v>39</v>
      </c>
      <c r="I7" s="24">
        <f t="shared" si="1"/>
        <v>0</v>
      </c>
      <c r="J7" s="27" t="str">
        <f t="shared" si="2"/>
        <v/>
      </c>
      <c r="K7" s="27" t="str">
        <f t="shared" si="3"/>
        <v>MODELOS MATEMÁTICOS ELEMENTARES</v>
      </c>
    </row>
    <row r="8">
      <c r="A8" s="21" t="s">
        <v>92</v>
      </c>
      <c r="B8" s="21" t="s">
        <v>93</v>
      </c>
      <c r="C8" s="21" t="s">
        <v>97</v>
      </c>
      <c r="D8" s="21">
        <v>2.0</v>
      </c>
      <c r="E8" s="21">
        <v>30.0</v>
      </c>
      <c r="F8" s="21">
        <v>0.0</v>
      </c>
      <c r="H8" s="22" t="s">
        <v>39</v>
      </c>
      <c r="I8" s="24">
        <f t="shared" si="1"/>
        <v>0</v>
      </c>
      <c r="J8" s="27" t="str">
        <f t="shared" si="2"/>
        <v/>
      </c>
      <c r="K8" s="27" t="str">
        <f t="shared" si="3"/>
        <v>SEMINÁRIOS INTERDISCIPLINARES</v>
      </c>
    </row>
    <row r="9">
      <c r="A9" s="21" t="s">
        <v>103</v>
      </c>
      <c r="B9" s="21" t="s">
        <v>104</v>
      </c>
      <c r="C9" s="21" t="s">
        <v>34</v>
      </c>
      <c r="D9" s="21">
        <v>4.0</v>
      </c>
      <c r="E9" s="21">
        <v>60.0</v>
      </c>
      <c r="F9" s="21">
        <v>0.0</v>
      </c>
      <c r="H9" s="22" t="s">
        <v>101</v>
      </c>
      <c r="I9" s="24">
        <f t="shared" si="1"/>
        <v>1</v>
      </c>
      <c r="J9" s="27" t="str">
        <f t="shared" si="2"/>
        <v>
 - DIL01101 - MODELOS MATEMÁTICOS ELEMENTARES</v>
      </c>
      <c r="K9" s="27" t="str">
        <f t="shared" si="3"/>
        <v>CÁLCULO DIFERENCIAL E INTEGRAL I</v>
      </c>
    </row>
    <row r="10">
      <c r="A10" s="21" t="s">
        <v>108</v>
      </c>
      <c r="B10" s="21" t="s">
        <v>109</v>
      </c>
      <c r="C10" s="21" t="s">
        <v>34</v>
      </c>
      <c r="D10" s="21">
        <v>4.0</v>
      </c>
      <c r="E10" s="21">
        <v>60.0</v>
      </c>
      <c r="F10" s="21">
        <v>0.0</v>
      </c>
      <c r="H10" s="22" t="s">
        <v>101</v>
      </c>
      <c r="I10" s="24">
        <f t="shared" si="1"/>
        <v>1</v>
      </c>
      <c r="J10" s="27" t="str">
        <f t="shared" si="2"/>
        <v>
 - DIL01101 - MODELOS MATEMÁTICOS ELEMENTARES</v>
      </c>
      <c r="K10" s="27" t="str">
        <f t="shared" si="3"/>
        <v>ESTATÍSTICA I</v>
      </c>
    </row>
    <row r="11">
      <c r="A11" s="21" t="s">
        <v>112</v>
      </c>
      <c r="B11" s="21" t="s">
        <v>113</v>
      </c>
      <c r="C11" s="21" t="s">
        <v>34</v>
      </c>
      <c r="D11" s="21">
        <v>4.0</v>
      </c>
      <c r="E11" s="21">
        <v>60.0</v>
      </c>
      <c r="F11" s="21">
        <v>0.0</v>
      </c>
      <c r="H11" s="22" t="s">
        <v>101</v>
      </c>
      <c r="I11" s="24">
        <f t="shared" si="1"/>
        <v>1</v>
      </c>
      <c r="J11" s="27" t="str">
        <f t="shared" si="2"/>
        <v>
 - DIL01101 - MODELOS MATEMÁTICOS ELEMENTARES</v>
      </c>
      <c r="K11" s="27" t="str">
        <f t="shared" si="3"/>
        <v>FÍSICA PARA ENGENHARIA I</v>
      </c>
    </row>
    <row r="12">
      <c r="A12" s="21" t="s">
        <v>117</v>
      </c>
      <c r="B12" s="21" t="s">
        <v>118</v>
      </c>
      <c r="C12" s="21" t="s">
        <v>34</v>
      </c>
      <c r="D12" s="21">
        <v>2.0</v>
      </c>
      <c r="E12" s="21">
        <v>30.0</v>
      </c>
      <c r="F12" s="21">
        <v>0.0</v>
      </c>
      <c r="H12" s="22" t="s">
        <v>101</v>
      </c>
      <c r="I12" s="24">
        <f t="shared" si="1"/>
        <v>0</v>
      </c>
      <c r="J12" s="27" t="str">
        <f t="shared" si="2"/>
        <v/>
      </c>
      <c r="K12" s="27" t="str">
        <f t="shared" si="3"/>
        <v>FUNDAMENTOS DE GESTÃO DE RECURSOS ENERGÉTICOS</v>
      </c>
    </row>
    <row r="13">
      <c r="A13" s="21" t="s">
        <v>123</v>
      </c>
      <c r="B13" s="21" t="s">
        <v>124</v>
      </c>
      <c r="C13" s="21" t="s">
        <v>34</v>
      </c>
      <c r="D13" s="21">
        <v>3.0</v>
      </c>
      <c r="E13" s="21">
        <v>45.0</v>
      </c>
      <c r="F13" s="21">
        <v>0.0</v>
      </c>
      <c r="H13" s="22" t="s">
        <v>101</v>
      </c>
      <c r="I13" s="24">
        <f t="shared" si="1"/>
        <v>0</v>
      </c>
      <c r="J13" s="27" t="str">
        <f t="shared" si="2"/>
        <v/>
      </c>
      <c r="K13" s="27" t="str">
        <f t="shared" si="3"/>
        <v>GEOLOGIA E RECURSOS MINERAIS PARA ENGENHARIA</v>
      </c>
    </row>
    <row r="14">
      <c r="A14" s="21" t="s">
        <v>126</v>
      </c>
      <c r="B14" s="21" t="s">
        <v>127</v>
      </c>
      <c r="C14" s="21" t="s">
        <v>34</v>
      </c>
      <c r="D14" s="21">
        <v>4.0</v>
      </c>
      <c r="E14" s="21">
        <v>60.0</v>
      </c>
      <c r="F14" s="21">
        <v>0.0</v>
      </c>
      <c r="H14" s="22" t="s">
        <v>101</v>
      </c>
      <c r="I14" s="24">
        <f t="shared" si="1"/>
        <v>1</v>
      </c>
      <c r="J14" s="27" t="str">
        <f t="shared" si="2"/>
        <v>
 - DIL01101 - MODELOS MATEMÁTICOS ELEMENTARES</v>
      </c>
      <c r="K14" s="27" t="str">
        <f t="shared" si="3"/>
        <v>INTRODUÇÃO À ÁLGEBRA LINEAR</v>
      </c>
    </row>
    <row r="15">
      <c r="A15" s="21" t="s">
        <v>131</v>
      </c>
      <c r="B15" s="21" t="s">
        <v>132</v>
      </c>
      <c r="C15" s="21" t="s">
        <v>34</v>
      </c>
      <c r="D15" s="21">
        <v>2.0</v>
      </c>
      <c r="E15" s="21">
        <v>30.0</v>
      </c>
      <c r="F15" s="21">
        <v>0.0</v>
      </c>
      <c r="H15" s="22" t="s">
        <v>101</v>
      </c>
      <c r="I15" s="24">
        <f t="shared" si="1"/>
        <v>0</v>
      </c>
      <c r="J15" s="27" t="str">
        <f t="shared" si="2"/>
        <v/>
      </c>
      <c r="K15" s="27" t="str">
        <f t="shared" si="3"/>
        <v>INTRODUÇÃO À PSICOLOGIA DO DESENVOLVIMENTO E DA APRENDIZAGEM</v>
      </c>
    </row>
    <row r="16">
      <c r="A16" s="21" t="s">
        <v>135</v>
      </c>
      <c r="B16" s="21" t="s">
        <v>137</v>
      </c>
      <c r="C16" s="21" t="s">
        <v>97</v>
      </c>
      <c r="D16" s="21">
        <v>4.0</v>
      </c>
      <c r="E16" s="21">
        <v>60.0</v>
      </c>
      <c r="F16" s="21">
        <v>6.0</v>
      </c>
      <c r="H16" s="22" t="s">
        <v>101</v>
      </c>
      <c r="I16" s="24">
        <f t="shared" si="1"/>
        <v>0</v>
      </c>
      <c r="J16" s="27" t="str">
        <f t="shared" si="2"/>
        <v/>
      </c>
      <c r="K16" s="27" t="str">
        <f t="shared" si="3"/>
        <v>INTRODUÇÃO AO PENSAMENTO SOCIAL</v>
      </c>
    </row>
    <row r="17">
      <c r="A17" s="21" t="s">
        <v>142</v>
      </c>
      <c r="B17" s="21" t="s">
        <v>144</v>
      </c>
      <c r="C17" s="21" t="s">
        <v>34</v>
      </c>
      <c r="D17" s="21">
        <v>2.0</v>
      </c>
      <c r="E17" s="21">
        <v>30.0</v>
      </c>
      <c r="F17" s="21">
        <v>0.0</v>
      </c>
      <c r="H17" s="22" t="s">
        <v>101</v>
      </c>
      <c r="I17" s="24">
        <f t="shared" si="1"/>
        <v>1</v>
      </c>
      <c r="J17" s="27" t="str">
        <f t="shared" si="2"/>
        <v>
 - DIL01101 - MODELOS MATEMÁTICOS ELEMENTARES</v>
      </c>
      <c r="K17" s="27" t="str">
        <f t="shared" si="3"/>
        <v>LABORATÓRIO DE FÍSICA PARA ENGENHARIA I</v>
      </c>
    </row>
    <row r="18">
      <c r="A18" s="21" t="s">
        <v>148</v>
      </c>
      <c r="B18" s="21" t="s">
        <v>150</v>
      </c>
      <c r="C18" s="21" t="s">
        <v>97</v>
      </c>
      <c r="D18" s="21">
        <v>4.0</v>
      </c>
      <c r="E18" s="21">
        <v>60.0</v>
      </c>
      <c r="F18" s="21">
        <v>15.0</v>
      </c>
      <c r="H18" s="22" t="s">
        <v>101</v>
      </c>
      <c r="I18" s="24">
        <f t="shared" si="1"/>
        <v>0</v>
      </c>
      <c r="J18" s="27" t="str">
        <f t="shared" si="2"/>
        <v/>
      </c>
      <c r="K18" s="27" t="str">
        <f t="shared" si="3"/>
        <v>PRINCÍPIOS DE CARTOGRAFIA E AEROFOTOGEOGRAFIA</v>
      </c>
    </row>
    <row r="19">
      <c r="A19" s="21" t="s">
        <v>154</v>
      </c>
      <c r="B19" s="21" t="s">
        <v>155</v>
      </c>
      <c r="C19" s="21" t="s">
        <v>97</v>
      </c>
      <c r="D19" s="21">
        <v>4.0</v>
      </c>
      <c r="E19" s="21">
        <v>60.0</v>
      </c>
      <c r="F19" s="21">
        <v>6.0</v>
      </c>
      <c r="H19" s="22" t="s">
        <v>101</v>
      </c>
      <c r="I19" s="24">
        <f t="shared" si="1"/>
        <v>0</v>
      </c>
      <c r="J19" s="27" t="str">
        <f t="shared" si="2"/>
        <v/>
      </c>
      <c r="K19" s="27" t="str">
        <f t="shared" si="3"/>
        <v>TEORIAS DO DESENVOLVIMENTO</v>
      </c>
    </row>
    <row r="20">
      <c r="A20" s="21" t="s">
        <v>159</v>
      </c>
      <c r="B20" s="21" t="s">
        <v>160</v>
      </c>
      <c r="C20" s="21" t="s">
        <v>97</v>
      </c>
      <c r="D20" s="21">
        <v>4.0</v>
      </c>
      <c r="E20" s="21">
        <v>60.0</v>
      </c>
      <c r="F20" s="21">
        <v>6.0</v>
      </c>
      <c r="H20" s="22" t="s">
        <v>101</v>
      </c>
      <c r="I20" s="24">
        <f t="shared" si="1"/>
        <v>0</v>
      </c>
      <c r="J20" s="27" t="str">
        <f t="shared" si="2"/>
        <v/>
      </c>
      <c r="K20" s="27" t="str">
        <f t="shared" si="3"/>
        <v>TRANSFORMAÇÕES SOCIOCULTURAIS E DESENVOLVIMENTO REGIONAL</v>
      </c>
    </row>
    <row r="21">
      <c r="A21" s="21" t="s">
        <v>164</v>
      </c>
      <c r="B21" s="21" t="s">
        <v>166</v>
      </c>
      <c r="C21" s="21" t="s">
        <v>34</v>
      </c>
      <c r="D21" s="21">
        <v>4.0</v>
      </c>
      <c r="E21" s="21">
        <v>60.0</v>
      </c>
      <c r="F21" s="21">
        <v>0.0</v>
      </c>
      <c r="H21" s="22" t="s">
        <v>167</v>
      </c>
      <c r="I21" s="24">
        <f t="shared" si="1"/>
        <v>1</v>
      </c>
      <c r="J21" s="27" t="str">
        <f t="shared" si="2"/>
        <v>
 - DIL01111 - INTRODUÇÃO À ÁLGEBRA LINEAR</v>
      </c>
      <c r="K21" s="27" t="str">
        <f t="shared" si="3"/>
        <v>ALGORITMOS E PROGRAMAÇÃO</v>
      </c>
    </row>
    <row r="22">
      <c r="A22" s="21" t="s">
        <v>173</v>
      </c>
      <c r="B22" s="21" t="s">
        <v>174</v>
      </c>
      <c r="C22" s="21" t="s">
        <v>34</v>
      </c>
      <c r="D22" s="21">
        <v>4.0</v>
      </c>
      <c r="E22" s="21">
        <v>60.0</v>
      </c>
      <c r="F22" s="21">
        <v>0.0</v>
      </c>
      <c r="H22" s="22" t="s">
        <v>167</v>
      </c>
      <c r="I22" s="24">
        <f t="shared" si="1"/>
        <v>3</v>
      </c>
      <c r="J22" s="27" t="str">
        <f t="shared" si="2"/>
        <v>
 - DIL01111 - INTRODUÇÃO À ÁLGEBRA LINEAR
 - e DIL01113 - CÁLCULO DIFERENCIAL E INTEGRAL I
 - e DIL01114 - FÍSICA PARA ENGENHARIA I</v>
      </c>
      <c r="K22" s="27" t="str">
        <f t="shared" si="3"/>
        <v>CÁLCULO DIFERENCIAL E INTEGRAL II</v>
      </c>
    </row>
    <row r="23">
      <c r="A23" s="21" t="s">
        <v>180</v>
      </c>
      <c r="B23" s="21" t="s">
        <v>181</v>
      </c>
      <c r="C23" s="21" t="s">
        <v>97</v>
      </c>
      <c r="D23" s="21">
        <v>4.0</v>
      </c>
      <c r="E23" s="21">
        <v>60.0</v>
      </c>
      <c r="F23" s="21">
        <v>6.0</v>
      </c>
      <c r="H23" s="22" t="s">
        <v>167</v>
      </c>
      <c r="I23" s="24">
        <f t="shared" si="1"/>
        <v>0</v>
      </c>
      <c r="J23" s="27" t="str">
        <f t="shared" si="2"/>
        <v/>
      </c>
      <c r="K23" s="27" t="str">
        <f t="shared" si="3"/>
        <v>DEMOGRAFIA</v>
      </c>
    </row>
    <row r="24">
      <c r="A24" s="21" t="s">
        <v>185</v>
      </c>
      <c r="B24" s="21" t="s">
        <v>186</v>
      </c>
      <c r="C24" s="21" t="s">
        <v>97</v>
      </c>
      <c r="D24" s="21">
        <v>4.0</v>
      </c>
      <c r="E24" s="21">
        <v>60.0</v>
      </c>
      <c r="F24" s="21">
        <v>6.0</v>
      </c>
      <c r="H24" s="22" t="s">
        <v>167</v>
      </c>
      <c r="I24" s="24">
        <f t="shared" si="1"/>
        <v>0</v>
      </c>
      <c r="J24" s="27" t="str">
        <f t="shared" si="2"/>
        <v/>
      </c>
      <c r="K24" s="27" t="str">
        <f t="shared" si="3"/>
        <v>DESENVOLVIMENTO REGIONAL</v>
      </c>
    </row>
    <row r="25">
      <c r="A25" s="21" t="s">
        <v>192</v>
      </c>
      <c r="B25" s="21" t="s">
        <v>193</v>
      </c>
      <c r="C25" s="21" t="s">
        <v>34</v>
      </c>
      <c r="D25" s="21">
        <v>4.0</v>
      </c>
      <c r="E25" s="21">
        <v>60.0</v>
      </c>
      <c r="F25" s="21">
        <v>0.0</v>
      </c>
      <c r="H25" s="22" t="s">
        <v>167</v>
      </c>
      <c r="I25" s="24">
        <f t="shared" si="1"/>
        <v>0</v>
      </c>
      <c r="J25" s="27" t="str">
        <f t="shared" si="2"/>
        <v/>
      </c>
      <c r="K25" s="27" t="str">
        <f t="shared" si="3"/>
        <v>EXPRESSÃO GRÁFICA</v>
      </c>
    </row>
    <row r="26">
      <c r="A26" s="21" t="s">
        <v>198</v>
      </c>
      <c r="B26" s="21" t="s">
        <v>199</v>
      </c>
      <c r="C26" s="21" t="s">
        <v>34</v>
      </c>
      <c r="D26" s="21">
        <v>4.0</v>
      </c>
      <c r="E26" s="21">
        <v>60.0</v>
      </c>
      <c r="F26" s="21">
        <v>0.0</v>
      </c>
      <c r="H26" s="22" t="s">
        <v>167</v>
      </c>
      <c r="I26" s="24">
        <f t="shared" si="1"/>
        <v>3</v>
      </c>
      <c r="J26" s="27" t="str">
        <f t="shared" si="2"/>
        <v>
 - DIL01111 - INTRODUÇÃO À ÁLGEBRA LINEAR
 - e DIL01113 - CÁLCULO DIFERENCIAL E INTEGRAL I
 - e DIL01114 - FÍSICA PARA ENGENHARIA I</v>
      </c>
      <c r="K26" s="27" t="str">
        <f t="shared" si="3"/>
        <v>FÍSICA PARA ENGENHARIA II</v>
      </c>
    </row>
    <row r="27">
      <c r="A27" s="21" t="s">
        <v>203</v>
      </c>
      <c r="B27" s="21" t="s">
        <v>204</v>
      </c>
      <c r="C27" s="21" t="s">
        <v>34</v>
      </c>
      <c r="D27" s="21">
        <v>4.0</v>
      </c>
      <c r="E27" s="21">
        <v>60.0</v>
      </c>
      <c r="F27" s="21">
        <v>0.0</v>
      </c>
      <c r="H27" s="22" t="s">
        <v>167</v>
      </c>
      <c r="I27" s="24">
        <f t="shared" si="1"/>
        <v>0</v>
      </c>
      <c r="J27" s="27" t="str">
        <f t="shared" si="2"/>
        <v/>
      </c>
      <c r="K27" s="27" t="str">
        <f t="shared" si="3"/>
        <v>FUNDAMENTOS DE QUÍMICA</v>
      </c>
    </row>
    <row r="28">
      <c r="A28" s="21" t="s">
        <v>208</v>
      </c>
      <c r="B28" s="21" t="s">
        <v>209</v>
      </c>
      <c r="C28" s="21" t="s">
        <v>97</v>
      </c>
      <c r="D28" s="21">
        <v>4.0</v>
      </c>
      <c r="E28" s="21">
        <v>60.0</v>
      </c>
      <c r="F28" s="21">
        <v>15.0</v>
      </c>
      <c r="H28" s="22" t="s">
        <v>167</v>
      </c>
      <c r="I28" s="24">
        <f t="shared" si="1"/>
        <v>0</v>
      </c>
      <c r="J28" s="27" t="str">
        <f t="shared" si="2"/>
        <v/>
      </c>
      <c r="K28" s="27" t="str">
        <f t="shared" si="3"/>
        <v>GEOGRAFIA ECONÔMICA E HUMANA A</v>
      </c>
    </row>
    <row r="29">
      <c r="A29" s="21" t="s">
        <v>215</v>
      </c>
      <c r="B29" s="21" t="s">
        <v>216</v>
      </c>
      <c r="C29" s="21" t="s">
        <v>34</v>
      </c>
      <c r="D29" s="21">
        <v>2.0</v>
      </c>
      <c r="E29" s="21">
        <v>30.0</v>
      </c>
      <c r="F29" s="21">
        <v>0.0</v>
      </c>
      <c r="H29" s="22" t="s">
        <v>167</v>
      </c>
      <c r="I29" s="24">
        <f t="shared" si="1"/>
        <v>3</v>
      </c>
      <c r="J29" s="27" t="str">
        <f t="shared" si="2"/>
        <v>
 - DIL01111 - INTRODUÇÃO À ÁLGEBRA LINEAR
 - e DIL01113 - CÁLCULO DIFERENCIAL E INTEGRAL I
 - e DIL01114 - FÍSICA PARA ENGENHARIA I</v>
      </c>
      <c r="K29" s="27" t="str">
        <f t="shared" si="3"/>
        <v>LABORATÓRIO DE FÍSICA PARA ENGENHARIA II</v>
      </c>
    </row>
    <row r="30">
      <c r="A30" s="21" t="s">
        <v>221</v>
      </c>
      <c r="B30" s="21" t="s">
        <v>222</v>
      </c>
      <c r="C30" s="21" t="s">
        <v>34</v>
      </c>
      <c r="D30" s="21">
        <v>2.0</v>
      </c>
      <c r="E30" s="21">
        <v>30.0</v>
      </c>
      <c r="F30" s="21">
        <v>0.0</v>
      </c>
      <c r="H30" s="22" t="s">
        <v>167</v>
      </c>
      <c r="I30" s="24">
        <f t="shared" si="1"/>
        <v>0</v>
      </c>
      <c r="J30" s="27" t="str">
        <f t="shared" si="2"/>
        <v/>
      </c>
      <c r="K30" s="27" t="str">
        <f t="shared" si="3"/>
        <v>LABORATÓRIO DE FUNDAMENTOS DE QUÍMICA</v>
      </c>
    </row>
    <row r="31">
      <c r="A31" s="21" t="s">
        <v>226</v>
      </c>
      <c r="B31" s="21" t="s">
        <v>227</v>
      </c>
      <c r="C31" s="21" t="s">
        <v>97</v>
      </c>
      <c r="D31" s="21">
        <v>4.0</v>
      </c>
      <c r="E31" s="21">
        <v>60.0</v>
      </c>
      <c r="F31" s="21">
        <v>12.0</v>
      </c>
      <c r="H31" s="22" t="s">
        <v>167</v>
      </c>
      <c r="I31" s="24">
        <f t="shared" si="1"/>
        <v>0</v>
      </c>
      <c r="J31" s="27" t="str">
        <f t="shared" si="2"/>
        <v/>
      </c>
      <c r="K31" s="27" t="str">
        <f t="shared" si="3"/>
        <v>POLÍTICAS PÚBLICAS DO DESENVOLVIMENTO REGIONAL</v>
      </c>
    </row>
    <row r="32">
      <c r="A32" s="21" t="s">
        <v>230</v>
      </c>
      <c r="B32" s="21" t="s">
        <v>232</v>
      </c>
      <c r="C32" s="21" t="s">
        <v>34</v>
      </c>
      <c r="D32" s="21">
        <v>3.0</v>
      </c>
      <c r="E32" s="21">
        <v>45.0</v>
      </c>
      <c r="F32" s="21">
        <v>0.0</v>
      </c>
      <c r="H32" s="22" t="s">
        <v>233</v>
      </c>
      <c r="I32" s="24">
        <f t="shared" si="1"/>
        <v>1</v>
      </c>
      <c r="J32" s="27" t="str">
        <f t="shared" si="2"/>
        <v>
 - DIL01109 - FUNDAMENTOS DE QUÍMICA</v>
      </c>
      <c r="K32" s="27" t="str">
        <f t="shared" si="3"/>
        <v>CIÊNCIA E TECNOLOGIA DOS MATERIAIS</v>
      </c>
    </row>
    <row r="33">
      <c r="A33" s="21" t="s">
        <v>236</v>
      </c>
      <c r="B33" s="21" t="s">
        <v>237</v>
      </c>
      <c r="C33" s="21" t="s">
        <v>34</v>
      </c>
      <c r="D33" s="21">
        <v>4.0</v>
      </c>
      <c r="E33" s="21">
        <v>60.0</v>
      </c>
      <c r="F33" s="21">
        <v>0.0</v>
      </c>
      <c r="H33" s="22" t="s">
        <v>233</v>
      </c>
      <c r="I33" s="24">
        <f t="shared" si="1"/>
        <v>2</v>
      </c>
      <c r="J33" s="27" t="str">
        <f t="shared" si="2"/>
        <v>
 - DIL01111 - INTRODUÇÃO À ÁLGEBRA LINEAR
 - e DIL01113 - CÁLCULO DIFERENCIAL E INTEGRAL I</v>
      </c>
      <c r="K33" s="27" t="str">
        <f t="shared" si="3"/>
        <v>CIRCUITOS ELÉTRICOS I</v>
      </c>
    </row>
    <row r="34">
      <c r="A34" s="21" t="s">
        <v>241</v>
      </c>
      <c r="B34" s="21" t="s">
        <v>243</v>
      </c>
      <c r="C34" s="21" t="s">
        <v>97</v>
      </c>
      <c r="D34" s="21">
        <v>4.0</v>
      </c>
      <c r="E34" s="21">
        <v>60.0</v>
      </c>
      <c r="F34" s="21">
        <v>9.0</v>
      </c>
      <c r="H34" s="22" t="s">
        <v>233</v>
      </c>
      <c r="I34" s="24">
        <f t="shared" si="1"/>
        <v>0</v>
      </c>
      <c r="J34" s="27" t="str">
        <f t="shared" si="2"/>
        <v/>
      </c>
      <c r="K34" s="27" t="str">
        <f t="shared" si="3"/>
        <v>DESENVOLVIMENTO RURAL</v>
      </c>
    </row>
    <row r="35">
      <c r="A35" s="21" t="s">
        <v>246</v>
      </c>
      <c r="B35" s="21" t="s">
        <v>247</v>
      </c>
      <c r="C35" s="21" t="s">
        <v>97</v>
      </c>
      <c r="D35" s="21">
        <v>4.0</v>
      </c>
      <c r="E35" s="21">
        <v>60.0</v>
      </c>
      <c r="F35" s="21">
        <v>6.0</v>
      </c>
      <c r="H35" s="22" t="s">
        <v>233</v>
      </c>
      <c r="I35" s="24">
        <f t="shared" si="1"/>
        <v>0</v>
      </c>
      <c r="J35" s="27" t="str">
        <f t="shared" si="2"/>
        <v/>
      </c>
      <c r="K35" s="27" t="str">
        <f t="shared" si="3"/>
        <v>ECONOMIA POLÍTICA DO DESENVOLVIMENTO NO BRASIL</v>
      </c>
    </row>
    <row r="36">
      <c r="A36" s="21" t="s">
        <v>252</v>
      </c>
      <c r="B36" s="21" t="s">
        <v>254</v>
      </c>
      <c r="C36" s="21" t="s">
        <v>34</v>
      </c>
      <c r="D36" s="21">
        <v>4.0</v>
      </c>
      <c r="E36" s="21">
        <v>60.0</v>
      </c>
      <c r="F36" s="21">
        <v>0.0</v>
      </c>
      <c r="H36" s="22" t="s">
        <v>233</v>
      </c>
      <c r="I36" s="24">
        <f t="shared" si="1"/>
        <v>1</v>
      </c>
      <c r="J36" s="27" t="str">
        <f t="shared" si="2"/>
        <v>
 - DIL01122 - CÁLCULO DIFERENCIAL E INTEGRAL II</v>
      </c>
      <c r="K36" s="27" t="str">
        <f t="shared" si="3"/>
        <v>EQUAÇÕES DIFERENCIAIS</v>
      </c>
    </row>
    <row r="37">
      <c r="A37" s="21" t="s">
        <v>257</v>
      </c>
      <c r="B37" s="21" t="s">
        <v>259</v>
      </c>
      <c r="C37" s="21" t="s">
        <v>34</v>
      </c>
      <c r="D37" s="21">
        <v>4.0</v>
      </c>
      <c r="E37" s="21">
        <v>60.0</v>
      </c>
      <c r="F37" s="21">
        <v>0.0</v>
      </c>
      <c r="H37" s="22" t="s">
        <v>233</v>
      </c>
      <c r="I37" s="24">
        <f t="shared" si="1"/>
        <v>2</v>
      </c>
      <c r="J37" s="27" t="str">
        <f t="shared" si="2"/>
        <v>
 - DIL01111 - INTRODUÇÃO À ÁLGEBRA LINEAR
 - e DIL01113 - CÁLCULO DIFERENCIAL E INTEGRAL I</v>
      </c>
      <c r="K37" s="27" t="str">
        <f t="shared" si="3"/>
        <v>FUNDAMENTOS DO ELETROMAGNETISMO</v>
      </c>
    </row>
    <row r="38">
      <c r="A38" s="21" t="s">
        <v>262</v>
      </c>
      <c r="B38" s="21" t="s">
        <v>264</v>
      </c>
      <c r="C38" s="21" t="s">
        <v>34</v>
      </c>
      <c r="D38" s="21">
        <v>4.0</v>
      </c>
      <c r="E38" s="21">
        <v>60.0</v>
      </c>
      <c r="F38" s="21">
        <v>0.0</v>
      </c>
      <c r="H38" s="22" t="s">
        <v>233</v>
      </c>
      <c r="I38" s="24">
        <f t="shared" si="1"/>
        <v>0</v>
      </c>
      <c r="J38" s="27" t="str">
        <f t="shared" si="2"/>
        <v/>
      </c>
      <c r="K38" s="27" t="str">
        <f t="shared" si="3"/>
        <v>INTRODUÇÃO À TERMODINÂMICA E ENERGIAS RENOVÁVEIS</v>
      </c>
    </row>
    <row r="39">
      <c r="A39" s="21" t="s">
        <v>267</v>
      </c>
      <c r="B39" s="21" t="s">
        <v>268</v>
      </c>
      <c r="C39" s="21" t="s">
        <v>34</v>
      </c>
      <c r="D39" s="21">
        <v>2.0</v>
      </c>
      <c r="E39" s="21">
        <v>30.0</v>
      </c>
      <c r="F39" s="21">
        <v>0.0</v>
      </c>
      <c r="H39" s="22" t="s">
        <v>233</v>
      </c>
      <c r="I39" s="24">
        <f t="shared" si="1"/>
        <v>2</v>
      </c>
      <c r="J39" s="27" t="str">
        <f t="shared" si="2"/>
        <v>
 - DIL01111 - INTRODUÇÃO À ÁLGEBRA LINEAR
 - e DIL01113 - CÁLCULO DIFERENCIAL E INTEGRAL I</v>
      </c>
      <c r="K39" s="27" t="str">
        <f t="shared" si="3"/>
        <v>LABORATÓRIO DE CIRCUITOS ELÉTRICOS I</v>
      </c>
    </row>
    <row r="40">
      <c r="A40" s="21" t="s">
        <v>274</v>
      </c>
      <c r="B40" s="21" t="s">
        <v>275</v>
      </c>
      <c r="C40" s="21" t="s">
        <v>34</v>
      </c>
      <c r="D40" s="21">
        <v>2.0</v>
      </c>
      <c r="E40" s="21">
        <v>30.0</v>
      </c>
      <c r="F40" s="21">
        <v>0.0</v>
      </c>
      <c r="H40" s="22" t="s">
        <v>233</v>
      </c>
      <c r="I40" s="24">
        <f t="shared" si="1"/>
        <v>2</v>
      </c>
      <c r="J40" s="27" t="str">
        <f t="shared" si="2"/>
        <v>
 - DIL01111 - INTRODUÇÃO À ÁLGEBRA LINEAR
 - e DIL01113 - CÁLCULO DIFERENCIAL E INTEGRAL I</v>
      </c>
      <c r="K40" s="27" t="str">
        <f t="shared" si="3"/>
        <v>LABORATÓRIO DE FUNDAMENTOS DO ELETROMAGNETISMO</v>
      </c>
    </row>
    <row r="41">
      <c r="A41" s="21" t="s">
        <v>278</v>
      </c>
      <c r="B41" s="21" t="s">
        <v>280</v>
      </c>
      <c r="C41" s="21" t="s">
        <v>97</v>
      </c>
      <c r="D41" s="21">
        <v>4.0</v>
      </c>
      <c r="E41" s="21">
        <v>60.0</v>
      </c>
      <c r="F41" s="21">
        <v>15.0</v>
      </c>
      <c r="H41" s="22" t="s">
        <v>233</v>
      </c>
      <c r="I41" s="24">
        <f t="shared" si="1"/>
        <v>0</v>
      </c>
      <c r="J41" s="27" t="str">
        <f t="shared" si="2"/>
        <v/>
      </c>
      <c r="K41" s="27" t="str">
        <f t="shared" si="3"/>
        <v>LIDERANÇA E EMPREENDEDORISMO</v>
      </c>
    </row>
    <row r="42">
      <c r="A42" s="21" t="s">
        <v>285</v>
      </c>
      <c r="B42" s="21" t="s">
        <v>286</v>
      </c>
      <c r="C42" s="21" t="s">
        <v>97</v>
      </c>
      <c r="D42" s="21">
        <v>4.0</v>
      </c>
      <c r="E42" s="21">
        <v>60.0</v>
      </c>
      <c r="F42" s="21">
        <v>6.0</v>
      </c>
      <c r="H42" s="22" t="s">
        <v>233</v>
      </c>
      <c r="I42" s="24">
        <f t="shared" si="1"/>
        <v>0</v>
      </c>
      <c r="J42" s="27" t="str">
        <f t="shared" si="2"/>
        <v/>
      </c>
      <c r="K42" s="27" t="str">
        <f t="shared" si="3"/>
        <v>PROCESSOS DE CONSTRUÇÃO DE IDENTIDADES</v>
      </c>
    </row>
    <row r="43">
      <c r="A43" s="21" t="s">
        <v>291</v>
      </c>
      <c r="B43" s="21" t="s">
        <v>292</v>
      </c>
      <c r="C43" s="21" t="s">
        <v>97</v>
      </c>
      <c r="D43" s="21">
        <v>4.0</v>
      </c>
      <c r="E43" s="21">
        <v>60.0</v>
      </c>
      <c r="F43" s="21">
        <v>0.0</v>
      </c>
      <c r="H43" s="22" t="s">
        <v>233</v>
      </c>
      <c r="I43" s="24">
        <f t="shared" si="1"/>
        <v>1</v>
      </c>
      <c r="J43" s="27" t="str">
        <f t="shared" si="2"/>
        <v>
 - DIL01119 - PRINCÍPIOS DE CARTOGRAFIA E AEROFOTOGEOGRAFIA</v>
      </c>
      <c r="K43" s="27" t="str">
        <f t="shared" si="3"/>
        <v>SENSORIAMENTO REMOTO - A</v>
      </c>
    </row>
    <row r="44">
      <c r="A44" s="21" t="s">
        <v>297</v>
      </c>
      <c r="B44" s="21" t="s">
        <v>298</v>
      </c>
      <c r="C44" s="21" t="s">
        <v>34</v>
      </c>
      <c r="D44" s="21">
        <v>4.0</v>
      </c>
      <c r="E44" s="21">
        <v>60.0</v>
      </c>
      <c r="F44" s="21">
        <v>6.0</v>
      </c>
      <c r="H44" s="22" t="s">
        <v>300</v>
      </c>
      <c r="I44" s="24">
        <f t="shared" si="1"/>
        <v>2</v>
      </c>
      <c r="J44" s="27" t="str">
        <f t="shared" si="2"/>
        <v>
 - DIL01135 - EQUAÇÕES DIFERENCIAIS
 - e DIL01138 - CIRCUITOS ELÉTRICOS I</v>
      </c>
      <c r="K44" s="27" t="str">
        <f t="shared" si="3"/>
        <v>CIRCUITOS ELÉTRICOS II</v>
      </c>
    </row>
    <row r="45">
      <c r="A45" s="21" t="s">
        <v>303</v>
      </c>
      <c r="B45" s="21" t="s">
        <v>305</v>
      </c>
      <c r="C45" s="21" t="s">
        <v>34</v>
      </c>
      <c r="D45" s="21">
        <v>4.0</v>
      </c>
      <c r="E45" s="21">
        <v>60.0</v>
      </c>
      <c r="F45" s="21">
        <v>6.0</v>
      </c>
      <c r="H45" s="22" t="s">
        <v>300</v>
      </c>
      <c r="I45" s="24">
        <f t="shared" si="1"/>
        <v>0</v>
      </c>
      <c r="J45" s="27" t="str">
        <f t="shared" si="2"/>
        <v/>
      </c>
      <c r="K45" s="27" t="str">
        <f t="shared" si="3"/>
        <v>ECONOMIA E AMBIENTE</v>
      </c>
    </row>
    <row r="46">
      <c r="A46" s="21" t="s">
        <v>308</v>
      </c>
      <c r="B46" s="21" t="s">
        <v>309</v>
      </c>
      <c r="C46" s="21" t="s">
        <v>97</v>
      </c>
      <c r="D46" s="21">
        <v>4.0</v>
      </c>
      <c r="E46" s="21">
        <v>60.0</v>
      </c>
      <c r="F46" s="21">
        <v>6.0</v>
      </c>
      <c r="H46" s="22" t="s">
        <v>300</v>
      </c>
      <c r="I46" s="24">
        <f t="shared" si="1"/>
        <v>0</v>
      </c>
      <c r="J46" s="27" t="str">
        <f t="shared" si="2"/>
        <v/>
      </c>
      <c r="K46" s="27" t="str">
        <f t="shared" si="3"/>
        <v>ESCALAS DE ANÁLISE REGIONAL E TERRITORIAL</v>
      </c>
    </row>
    <row r="47">
      <c r="A47" s="21" t="s">
        <v>313</v>
      </c>
      <c r="B47" s="21" t="s">
        <v>315</v>
      </c>
      <c r="C47" s="21" t="s">
        <v>97</v>
      </c>
      <c r="D47" s="21">
        <v>4.0</v>
      </c>
      <c r="E47" s="21">
        <v>60.0</v>
      </c>
      <c r="F47" s="21">
        <v>0.0</v>
      </c>
      <c r="H47" s="22" t="s">
        <v>300</v>
      </c>
      <c r="I47" s="24">
        <f t="shared" si="1"/>
        <v>2</v>
      </c>
      <c r="J47" s="27" t="str">
        <f t="shared" si="2"/>
        <v>
 - DIL01122 - CÁLCULO DIFERENCIAL E INTEGRAL II
 - e DIL01123 - FÍSICA PARA ENGENHARIA II</v>
      </c>
      <c r="K47" s="27" t="str">
        <f t="shared" si="3"/>
        <v>FÍSICA PARA ENGENHARIA III</v>
      </c>
    </row>
    <row r="48">
      <c r="A48" s="21" t="s">
        <v>318</v>
      </c>
      <c r="B48" s="21" t="s">
        <v>320</v>
      </c>
      <c r="C48" s="21" t="s">
        <v>34</v>
      </c>
      <c r="D48" s="21">
        <v>2.0</v>
      </c>
      <c r="E48" s="21">
        <v>30.0</v>
      </c>
      <c r="F48" s="21">
        <v>3.0</v>
      </c>
      <c r="H48" s="22" t="s">
        <v>300</v>
      </c>
      <c r="I48" s="24">
        <f t="shared" si="1"/>
        <v>3</v>
      </c>
      <c r="J48" s="27" t="str">
        <f t="shared" si="2"/>
        <v>
 - DIL01135 - EQUAÇÕES DIFERENCIAIS
 - e DIL01138 - CIRCUITOS ELÉTRICOS I
 - e DIL01139 - LABORATÓRIO DE CIRCUITOS ELÉTRICOS I</v>
      </c>
      <c r="K48" s="27" t="str">
        <f t="shared" si="3"/>
        <v>LABORATÓRIO DE CIRCUITOS ELÉTRICOS II</v>
      </c>
    </row>
    <row r="49">
      <c r="A49" s="21" t="s">
        <v>323</v>
      </c>
      <c r="B49" s="21" t="s">
        <v>324</v>
      </c>
      <c r="C49" s="21" t="s">
        <v>97</v>
      </c>
      <c r="D49" s="21">
        <v>4.0</v>
      </c>
      <c r="E49" s="21">
        <v>60.0</v>
      </c>
      <c r="F49" s="21">
        <v>0.0</v>
      </c>
      <c r="H49" s="22" t="s">
        <v>300</v>
      </c>
      <c r="I49" s="24">
        <f t="shared" si="1"/>
        <v>0</v>
      </c>
      <c r="J49" s="27" t="str">
        <f t="shared" si="2"/>
        <v/>
      </c>
      <c r="K49" s="27" t="str">
        <f t="shared" si="3"/>
        <v>LÍNGUA BRASILEIRA DE SINAIS - LIBRAS</v>
      </c>
    </row>
    <row r="50">
      <c r="A50" s="21" t="s">
        <v>329</v>
      </c>
      <c r="B50" s="21" t="s">
        <v>330</v>
      </c>
      <c r="C50" s="21" t="s">
        <v>34</v>
      </c>
      <c r="D50" s="21">
        <v>4.0</v>
      </c>
      <c r="E50" s="21">
        <v>60.0</v>
      </c>
      <c r="F50" s="21">
        <v>0.0</v>
      </c>
      <c r="H50" s="22" t="s">
        <v>300</v>
      </c>
      <c r="I50" s="24">
        <f t="shared" si="1"/>
        <v>1</v>
      </c>
      <c r="J50" s="27" t="str">
        <f t="shared" si="2"/>
        <v>
 - DIL01123 - FÍSICA PARA ENGENHARIA II</v>
      </c>
      <c r="K50" s="27" t="str">
        <f t="shared" si="3"/>
        <v>MÁQUINAS TÉRMICAS</v>
      </c>
    </row>
    <row r="51">
      <c r="A51" s="21" t="s">
        <v>335</v>
      </c>
      <c r="B51" s="21" t="s">
        <v>337</v>
      </c>
      <c r="C51" s="21" t="s">
        <v>34</v>
      </c>
      <c r="D51" s="21">
        <v>6.0</v>
      </c>
      <c r="E51" s="21">
        <v>90.0</v>
      </c>
      <c r="F51" s="21">
        <v>0.0</v>
      </c>
      <c r="H51" s="22" t="s">
        <v>300</v>
      </c>
      <c r="I51" s="24">
        <f t="shared" si="1"/>
        <v>2</v>
      </c>
      <c r="J51" s="27" t="str">
        <f t="shared" si="2"/>
        <v>
 - DIL01114 - FÍSICA PARA ENGENHARIA I
 - e DIL01122 - CÁLCULO DIFERENCIAL E INTEGRAL II</v>
      </c>
      <c r="K51" s="27" t="str">
        <f t="shared" si="3"/>
        <v>MECÂNICA E RESISTÊNCIA DOS MATERIAIS</v>
      </c>
    </row>
    <row r="52">
      <c r="A52" s="21" t="s">
        <v>343</v>
      </c>
      <c r="B52" s="21" t="s">
        <v>344</v>
      </c>
      <c r="C52" s="21" t="s">
        <v>34</v>
      </c>
      <c r="D52" s="21">
        <v>4.0</v>
      </c>
      <c r="E52" s="21">
        <v>60.0</v>
      </c>
      <c r="F52" s="21">
        <v>0.0</v>
      </c>
      <c r="H52" s="22" t="s">
        <v>300</v>
      </c>
      <c r="I52" s="24">
        <f t="shared" si="1"/>
        <v>2</v>
      </c>
      <c r="J52" s="27" t="str">
        <f t="shared" si="2"/>
        <v>
 - DIL01112 - ESTATÍSTICA I
 - e DIL01113 - CÁLCULO DIFERENCIAL E INTEGRAL I</v>
      </c>
      <c r="K52" s="27" t="str">
        <f t="shared" si="3"/>
        <v>PESQUISA OPERACIONAL</v>
      </c>
    </row>
    <row r="53">
      <c r="A53" s="21" t="s">
        <v>350</v>
      </c>
      <c r="B53" s="21" t="s">
        <v>351</v>
      </c>
      <c r="C53" s="21" t="s">
        <v>97</v>
      </c>
      <c r="D53" s="21">
        <v>4.0</v>
      </c>
      <c r="E53" s="21">
        <v>60.0</v>
      </c>
      <c r="F53" s="21">
        <v>6.0</v>
      </c>
      <c r="H53" s="22" t="s">
        <v>300</v>
      </c>
      <c r="I53" s="24">
        <f t="shared" si="1"/>
        <v>0</v>
      </c>
      <c r="J53" s="27" t="str">
        <f t="shared" si="2"/>
        <v/>
      </c>
      <c r="K53" s="27" t="str">
        <f t="shared" si="3"/>
        <v>PROJETOS INTEGRADOS DE GESTÃO ESPACIAL</v>
      </c>
    </row>
    <row r="54">
      <c r="A54" s="21" t="s">
        <v>98</v>
      </c>
      <c r="B54" s="21" t="s">
        <v>99</v>
      </c>
      <c r="C54" s="21" t="s">
        <v>34</v>
      </c>
      <c r="D54" s="21">
        <v>4.0</v>
      </c>
      <c r="E54" s="21">
        <v>60.0</v>
      </c>
      <c r="F54" s="21">
        <v>0.0</v>
      </c>
      <c r="H54" s="22" t="s">
        <v>355</v>
      </c>
      <c r="I54" s="24">
        <f t="shared" si="1"/>
        <v>0</v>
      </c>
      <c r="J54" s="27" t="str">
        <f t="shared" si="2"/>
        <v/>
      </c>
      <c r="K54" s="27" t="str">
        <f t="shared" si="3"/>
        <v>ADMINISTRAÇÃO</v>
      </c>
    </row>
    <row r="55">
      <c r="A55" s="21" t="s">
        <v>358</v>
      </c>
      <c r="B55" s="21" t="s">
        <v>360</v>
      </c>
      <c r="C55" s="21" t="s">
        <v>97</v>
      </c>
      <c r="D55" s="21">
        <v>4.0</v>
      </c>
      <c r="E55" s="21">
        <v>60.0</v>
      </c>
      <c r="F55" s="21">
        <v>6.0</v>
      </c>
      <c r="H55" s="22" t="s">
        <v>355</v>
      </c>
      <c r="I55" s="24">
        <f t="shared" si="1"/>
        <v>0</v>
      </c>
      <c r="J55" s="27" t="str">
        <f t="shared" si="2"/>
        <v/>
      </c>
      <c r="K55" s="27" t="str">
        <f t="shared" si="3"/>
        <v>ANÁLISES GLOBAIS E POLÍTICAS REGIONAIS</v>
      </c>
    </row>
    <row r="56">
      <c r="A56" s="21" t="s">
        <v>363</v>
      </c>
      <c r="B56" s="21" t="s">
        <v>364</v>
      </c>
      <c r="C56" s="21" t="s">
        <v>97</v>
      </c>
      <c r="D56" s="21">
        <v>4.0</v>
      </c>
      <c r="E56" s="21">
        <v>60.0</v>
      </c>
      <c r="F56" s="21">
        <v>0.0</v>
      </c>
      <c r="H56" s="22" t="s">
        <v>355</v>
      </c>
      <c r="I56" s="24">
        <f t="shared" si="1"/>
        <v>0</v>
      </c>
      <c r="J56" s="27" t="str">
        <f t="shared" si="2"/>
        <v/>
      </c>
      <c r="K56" s="27" t="str">
        <f t="shared" si="3"/>
        <v>CIÊNCIA, TECNOLOGIA E SOCIEDADE</v>
      </c>
    </row>
    <row r="57">
      <c r="A57" s="21" t="s">
        <v>367</v>
      </c>
      <c r="B57" s="21" t="s">
        <v>369</v>
      </c>
      <c r="C57" s="21" t="s">
        <v>34</v>
      </c>
      <c r="D57" s="21">
        <v>4.0</v>
      </c>
      <c r="E57" s="21">
        <v>60.0</v>
      </c>
      <c r="F57" s="21">
        <v>8.0</v>
      </c>
      <c r="H57" s="22" t="s">
        <v>355</v>
      </c>
      <c r="I57" s="24">
        <f t="shared" si="1"/>
        <v>1</v>
      </c>
      <c r="J57" s="27" t="str">
        <f t="shared" si="2"/>
        <v>
 - DIL01353 - INTRODUÇÃO À DINÂMICA E AOS PROCESSOS DA NATUREZA - A</v>
      </c>
      <c r="K57" s="27" t="str">
        <f t="shared" si="3"/>
        <v>CIÊNCIAS DO AMBIENTE: ENERGIA E MEIO AMBIENTE</v>
      </c>
    </row>
    <row r="58">
      <c r="A58" s="21" t="s">
        <v>372</v>
      </c>
      <c r="B58" s="21" t="s">
        <v>373</v>
      </c>
      <c r="C58" s="21" t="s">
        <v>34</v>
      </c>
      <c r="D58" s="21">
        <v>4.0</v>
      </c>
      <c r="E58" s="21">
        <v>60.0</v>
      </c>
      <c r="F58" s="21">
        <v>0.0</v>
      </c>
      <c r="H58" s="22" t="s">
        <v>355</v>
      </c>
      <c r="I58" s="24">
        <f t="shared" si="1"/>
        <v>2</v>
      </c>
      <c r="J58" s="27" t="str">
        <f t="shared" si="2"/>
        <v>
 - DIL01125 - FUNDAMENTOS DO ELETROMAGNETISMO
 - e DIL01150 - CIRCUITOS ELÉTRICOS II</v>
      </c>
      <c r="K58" s="27" t="str">
        <f t="shared" si="3"/>
        <v>CONVERSÃO DE ENERGIA E MÁQUINAS ELÉTRICAS</v>
      </c>
    </row>
    <row r="59">
      <c r="A59" s="21" t="s">
        <v>377</v>
      </c>
      <c r="B59" s="21" t="s">
        <v>378</v>
      </c>
      <c r="C59" s="21" t="s">
        <v>34</v>
      </c>
      <c r="D59" s="21">
        <v>4.0</v>
      </c>
      <c r="E59" s="21">
        <v>60.0</v>
      </c>
      <c r="F59" s="21">
        <v>0.0</v>
      </c>
      <c r="H59" s="22" t="s">
        <v>355</v>
      </c>
      <c r="I59" s="24">
        <f t="shared" si="1"/>
        <v>1</v>
      </c>
      <c r="J59" s="27" t="str">
        <f t="shared" si="2"/>
        <v>
 - DIL01112 - ESTATÍSTICA I</v>
      </c>
      <c r="K59" s="27" t="str">
        <f t="shared" si="3"/>
        <v>ENGENHARIA ECONÔMICA</v>
      </c>
    </row>
    <row r="60">
      <c r="A60" s="21" t="s">
        <v>384</v>
      </c>
      <c r="B60" s="21" t="s">
        <v>385</v>
      </c>
      <c r="C60" s="21" t="s">
        <v>34</v>
      </c>
      <c r="D60" s="21">
        <v>4.0</v>
      </c>
      <c r="E60" s="21">
        <v>60.0</v>
      </c>
      <c r="F60" s="21">
        <v>0.0</v>
      </c>
      <c r="H60" s="22" t="s">
        <v>355</v>
      </c>
      <c r="I60" s="24">
        <f t="shared" si="1"/>
        <v>2</v>
      </c>
      <c r="J60" s="27" t="str">
        <f t="shared" si="2"/>
        <v>
 - DIL01135 - EQUAÇÕES DIFERENCIAIS
 - e DIL01152 - MÁQUINAS TÉRMICAS</v>
      </c>
      <c r="K60" s="27" t="str">
        <f t="shared" si="3"/>
        <v>FENÔMENOS DE TRANSPORTE A</v>
      </c>
    </row>
    <row r="61">
      <c r="A61" s="21" t="s">
        <v>390</v>
      </c>
      <c r="B61" s="21" t="s">
        <v>391</v>
      </c>
      <c r="C61" s="21" t="s">
        <v>97</v>
      </c>
      <c r="D61" s="21">
        <v>4.0</v>
      </c>
      <c r="E61" s="21">
        <v>60.0</v>
      </c>
      <c r="F61" s="21">
        <v>12.0</v>
      </c>
      <c r="H61" s="22" t="s">
        <v>355</v>
      </c>
      <c r="I61" s="24">
        <f t="shared" si="1"/>
        <v>0</v>
      </c>
      <c r="J61" s="27" t="str">
        <f t="shared" si="2"/>
        <v/>
      </c>
      <c r="K61" s="27" t="str">
        <f t="shared" si="3"/>
        <v>GESTÃO E PLANEJAMENTO PARA O DESENVOLVIMENTO REGIONAL</v>
      </c>
    </row>
    <row r="62">
      <c r="A62" s="21" t="s">
        <v>397</v>
      </c>
      <c r="B62" s="21" t="s">
        <v>398</v>
      </c>
      <c r="C62" s="21" t="s">
        <v>34</v>
      </c>
      <c r="D62" s="21">
        <v>2.0</v>
      </c>
      <c r="E62" s="21">
        <v>30.0</v>
      </c>
      <c r="F62" s="21">
        <v>0.0</v>
      </c>
      <c r="H62" s="22" t="s">
        <v>355</v>
      </c>
      <c r="I62" s="24">
        <f t="shared" si="1"/>
        <v>2</v>
      </c>
      <c r="J62" s="27" t="str">
        <f t="shared" si="2"/>
        <v>
 - DIL01125 - FUNDAMENTOS DO ELETROMAGNETISMO
 - e DIL01150 - CIRCUITOS ELÉTRICOS II</v>
      </c>
      <c r="K62" s="27" t="str">
        <f t="shared" si="3"/>
        <v>LABORATÓRIO DE CONVERSÃO DE ENERGIA E MÁQUINAS ELÉTRICAS</v>
      </c>
    </row>
    <row r="63">
      <c r="A63" s="21" t="s">
        <v>403</v>
      </c>
      <c r="B63" s="21" t="s">
        <v>405</v>
      </c>
      <c r="C63" s="21" t="s">
        <v>34</v>
      </c>
      <c r="D63" s="21">
        <v>2.0</v>
      </c>
      <c r="E63" s="21">
        <v>30.0</v>
      </c>
      <c r="F63" s="21">
        <v>5.0</v>
      </c>
      <c r="H63" s="22" t="s">
        <v>355</v>
      </c>
      <c r="I63" s="24">
        <f t="shared" si="1"/>
        <v>2</v>
      </c>
      <c r="J63" s="27" t="str">
        <f t="shared" si="2"/>
        <v>
 - DIL01135 - EQUAÇÕES DIFERENCIAIS
 - e DIL01152 - MÁQUINAS TÉRMICAS</v>
      </c>
      <c r="K63" s="27" t="str">
        <f t="shared" si="3"/>
        <v>LABORATÓRIO DE FENÔMENOS DE TRANSPORTE - A</v>
      </c>
    </row>
    <row r="64">
      <c r="A64" s="21" t="s">
        <v>409</v>
      </c>
      <c r="B64" s="21" t="s">
        <v>410</v>
      </c>
      <c r="C64" s="21" t="s">
        <v>97</v>
      </c>
      <c r="D64" s="21">
        <v>4.0</v>
      </c>
      <c r="E64" s="21">
        <v>60.0</v>
      </c>
      <c r="F64" s="21">
        <v>6.0</v>
      </c>
      <c r="H64" s="22" t="s">
        <v>355</v>
      </c>
      <c r="I64" s="24">
        <f t="shared" si="1"/>
        <v>0</v>
      </c>
      <c r="J64" s="27" t="str">
        <f t="shared" si="2"/>
        <v/>
      </c>
      <c r="K64" s="27" t="str">
        <f t="shared" si="3"/>
        <v>SISTEMAS COMPLEXOS E DESENVOLVIMENTO REGIONAL</v>
      </c>
    </row>
    <row r="65">
      <c r="A65" s="21" t="s">
        <v>414</v>
      </c>
      <c r="B65" s="21" t="s">
        <v>415</v>
      </c>
      <c r="C65" s="21" t="s">
        <v>34</v>
      </c>
      <c r="D65" s="21">
        <v>4.0</v>
      </c>
      <c r="E65" s="21">
        <v>60.0</v>
      </c>
      <c r="F65" s="21">
        <v>0.0</v>
      </c>
      <c r="H65" s="22" t="s">
        <v>417</v>
      </c>
      <c r="I65" s="24">
        <f t="shared" si="1"/>
        <v>1</v>
      </c>
      <c r="J65" s="27" t="str">
        <f t="shared" si="2"/>
        <v>
 - DIL01161 - CONVERSÃO DE ENERGIA E MÁQUINAS ELÉTRICAS</v>
      </c>
      <c r="K65" s="27" t="str">
        <f t="shared" si="3"/>
        <v>ANÁLISE DE SISTEMAS DE ENERGIA ELÉTRICA</v>
      </c>
    </row>
    <row r="66">
      <c r="A66" s="21" t="s">
        <v>419</v>
      </c>
      <c r="B66" s="21" t="s">
        <v>421</v>
      </c>
      <c r="C66" s="21" t="s">
        <v>34</v>
      </c>
      <c r="D66" s="21">
        <v>4.0</v>
      </c>
      <c r="E66" s="21">
        <v>60.0</v>
      </c>
      <c r="F66" s="21">
        <v>0.0</v>
      </c>
      <c r="H66" s="22" t="s">
        <v>417</v>
      </c>
      <c r="I66" s="24">
        <f t="shared" si="1"/>
        <v>1</v>
      </c>
      <c r="J66" s="27" t="str">
        <f t="shared" si="2"/>
        <v>
 - DIL01152 - MÁQUINAS TÉRMICAS</v>
      </c>
      <c r="K66" s="27" t="str">
        <f t="shared" si="3"/>
        <v>COMBUSTÃO E COMBUSTÍVEIS</v>
      </c>
    </row>
    <row r="67">
      <c r="A67" s="21" t="s">
        <v>424</v>
      </c>
      <c r="B67" s="21" t="s">
        <v>425</v>
      </c>
      <c r="C67" s="21" t="s">
        <v>34</v>
      </c>
      <c r="D67" s="21">
        <v>4.0</v>
      </c>
      <c r="E67" s="21">
        <v>60.0</v>
      </c>
      <c r="F67" s="21">
        <v>0.0</v>
      </c>
      <c r="H67" s="22" t="s">
        <v>417</v>
      </c>
      <c r="I67" s="24">
        <f t="shared" si="1"/>
        <v>1</v>
      </c>
      <c r="J67" s="27" t="str">
        <f t="shared" si="2"/>
        <v>
 - DIL01150 - CIRCUITOS ELÉTRICOS II</v>
      </c>
      <c r="K67" s="27" t="str">
        <f t="shared" si="3"/>
        <v>ELETRÔNICA BÁSICA</v>
      </c>
    </row>
    <row r="68">
      <c r="A68" s="21" t="s">
        <v>430</v>
      </c>
      <c r="B68" s="21" t="s">
        <v>431</v>
      </c>
      <c r="C68" s="21" t="s">
        <v>34</v>
      </c>
      <c r="D68" s="21">
        <v>2.0</v>
      </c>
      <c r="E68" s="21">
        <v>30.0</v>
      </c>
      <c r="F68" s="21">
        <v>0.0</v>
      </c>
      <c r="H68" s="22" t="s">
        <v>417</v>
      </c>
      <c r="I68" s="24">
        <f t="shared" si="1"/>
        <v>1</v>
      </c>
      <c r="J68" s="27" t="str">
        <f t="shared" si="2"/>
        <v>
 - DIL01150 - CIRCUITOS ELÉTRICOS II</v>
      </c>
      <c r="K68" s="27" t="str">
        <f t="shared" si="3"/>
        <v>LABORATÓRIO DE ELETRÔNICA BÁSICA</v>
      </c>
    </row>
    <row r="69">
      <c r="A69" s="21" t="s">
        <v>434</v>
      </c>
      <c r="B69" s="21" t="s">
        <v>436</v>
      </c>
      <c r="C69" s="21" t="s">
        <v>34</v>
      </c>
      <c r="D69" s="21">
        <v>4.0</v>
      </c>
      <c r="E69" s="21">
        <v>60.0</v>
      </c>
      <c r="F69" s="21">
        <v>0.0</v>
      </c>
      <c r="H69" s="22" t="s">
        <v>417</v>
      </c>
      <c r="I69" s="24">
        <f t="shared" si="1"/>
        <v>1</v>
      </c>
      <c r="J69" s="27" t="str">
        <f t="shared" si="2"/>
        <v>
 - DIL01150 - CIRCUITOS ELÉTRICOS II</v>
      </c>
      <c r="K69" s="27" t="str">
        <f t="shared" si="3"/>
        <v>PRINCÍPIOS DE SISTEMAS DE CONTROLE</v>
      </c>
    </row>
    <row r="70">
      <c r="A70" s="21" t="s">
        <v>439</v>
      </c>
      <c r="B70" s="21" t="s">
        <v>441</v>
      </c>
      <c r="C70" s="21" t="s">
        <v>97</v>
      </c>
      <c r="D70" s="21">
        <v>4.0</v>
      </c>
      <c r="E70" s="21">
        <v>60.0</v>
      </c>
      <c r="F70" s="21">
        <v>0.0</v>
      </c>
      <c r="H70" s="22" t="s">
        <v>417</v>
      </c>
      <c r="I70" s="24">
        <f t="shared" si="1"/>
        <v>2</v>
      </c>
      <c r="J70" s="27" t="str">
        <f t="shared" si="2"/>
        <v>
 - DIL01125 - FUNDAMENTOS DO ELETROMAGNETISMO
 - e DIL01152 - MÁQUINAS TÉRMICAS</v>
      </c>
      <c r="K70" s="27" t="str">
        <f t="shared" si="3"/>
        <v>PRODUÇÃO DE ENERGIA E AMBIENTE</v>
      </c>
    </row>
    <row r="71">
      <c r="A71" s="21" t="s">
        <v>446</v>
      </c>
      <c r="B71" s="21" t="s">
        <v>447</v>
      </c>
      <c r="C71" s="21" t="s">
        <v>34</v>
      </c>
      <c r="D71" s="21">
        <v>4.0</v>
      </c>
      <c r="E71" s="21">
        <v>60.0</v>
      </c>
      <c r="F71" s="21">
        <v>0.0</v>
      </c>
      <c r="H71" s="22" t="s">
        <v>417</v>
      </c>
      <c r="I71" s="24">
        <f t="shared" si="1"/>
        <v>1</v>
      </c>
      <c r="J71" s="27" t="str">
        <f t="shared" si="2"/>
        <v>
 - DIL01161 - CONVERSÃO DE ENERGIA E MÁQUINAS ELÉTRICAS</v>
      </c>
      <c r="K71" s="27" t="str">
        <f t="shared" si="3"/>
        <v>TECNOLOGIAS EMERGENTES NA ÁREA DE ENERGIA</v>
      </c>
    </row>
    <row r="72">
      <c r="A72" s="21" t="s">
        <v>450</v>
      </c>
      <c r="B72" s="21" t="s">
        <v>451</v>
      </c>
      <c r="C72" s="21" t="s">
        <v>97</v>
      </c>
      <c r="D72" s="21">
        <v>4.0</v>
      </c>
      <c r="E72" s="21">
        <v>60.0</v>
      </c>
      <c r="F72" s="21">
        <v>0.0</v>
      </c>
      <c r="H72" s="22" t="s">
        <v>453</v>
      </c>
      <c r="I72" s="24">
        <f t="shared" si="1"/>
        <v>2</v>
      </c>
      <c r="J72" s="27" t="str">
        <f t="shared" si="2"/>
        <v>
 - DIL01152 - MÁQUINAS TÉRMICAS
 - e DIL01160 - FENÔMENOS DE TRANSPORTE A</v>
      </c>
      <c r="K72" s="27" t="str">
        <f t="shared" si="3"/>
        <v>CENTRAIS HIDROELÉTRICAS E TERMOELÉTRICAS</v>
      </c>
    </row>
    <row r="73">
      <c r="A73" s="21" t="s">
        <v>456</v>
      </c>
      <c r="B73" s="21" t="s">
        <v>458</v>
      </c>
      <c r="C73" s="21" t="s">
        <v>34</v>
      </c>
      <c r="D73" s="21">
        <v>4.0</v>
      </c>
      <c r="E73" s="21">
        <v>60.0</v>
      </c>
      <c r="F73" s="21">
        <v>0.0</v>
      </c>
      <c r="H73" s="22" t="s">
        <v>453</v>
      </c>
      <c r="I73" s="24">
        <f t="shared" si="1"/>
        <v>1</v>
      </c>
      <c r="J73" s="27" t="str">
        <f t="shared" si="2"/>
        <v>
 - DIL01160 - FENÔMENOS DE TRANSPORTE A</v>
      </c>
      <c r="K73" s="27" t="str">
        <f t="shared" si="3"/>
        <v>CLIMATIZAÇÃO</v>
      </c>
    </row>
    <row r="74">
      <c r="A74" s="21" t="s">
        <v>459</v>
      </c>
      <c r="B74" s="21" t="s">
        <v>460</v>
      </c>
      <c r="C74" s="21" t="s">
        <v>34</v>
      </c>
      <c r="D74" s="21">
        <v>4.0</v>
      </c>
      <c r="E74" s="21">
        <v>60.0</v>
      </c>
      <c r="F74" s="21">
        <v>6.0</v>
      </c>
      <c r="H74" s="22" t="s">
        <v>453</v>
      </c>
      <c r="I74" s="24">
        <f t="shared" si="1"/>
        <v>2</v>
      </c>
      <c r="J74" s="27" t="str">
        <f t="shared" si="2"/>
        <v>
 - DIL01161 - CONVERSÃO DE ENERGIA E MÁQUINAS ELÉTRICAS
 - e DIL01261 - ELETRÔNICA BÁSICA</v>
      </c>
      <c r="K74" s="27" t="str">
        <f t="shared" si="3"/>
        <v>ELETRÔNICA DE POTÊNCIA</v>
      </c>
    </row>
    <row r="75">
      <c r="A75" s="21" t="s">
        <v>463</v>
      </c>
      <c r="B75" s="21" t="s">
        <v>464</v>
      </c>
      <c r="C75" s="21" t="s">
        <v>34</v>
      </c>
      <c r="D75" s="21">
        <v>4.0</v>
      </c>
      <c r="E75" s="21">
        <v>60.0</v>
      </c>
      <c r="F75" s="21">
        <v>0.0</v>
      </c>
      <c r="H75" s="22" t="s">
        <v>453</v>
      </c>
      <c r="I75" s="24">
        <f t="shared" si="1"/>
        <v>2</v>
      </c>
      <c r="J75" s="27" t="str">
        <f t="shared" si="2"/>
        <v>
 - DIL01160 - FENÔMENOS DE TRANSPORTE A
 - e DIL01161 - CONVERSÃO DE ENERGIA E MÁQUINAS ELÉTRICAS</v>
      </c>
      <c r="K75" s="27" t="str">
        <f t="shared" si="3"/>
        <v>ENERGIA EÓLICA</v>
      </c>
    </row>
    <row r="76">
      <c r="A76" s="21" t="s">
        <v>465</v>
      </c>
      <c r="B76" s="21" t="s">
        <v>466</v>
      </c>
      <c r="C76" s="21" t="s">
        <v>34</v>
      </c>
      <c r="D76" s="21">
        <v>4.0</v>
      </c>
      <c r="E76" s="21">
        <v>60.0</v>
      </c>
      <c r="F76" s="21">
        <v>0.0</v>
      </c>
      <c r="H76" s="22" t="s">
        <v>453</v>
      </c>
      <c r="I76" s="24">
        <f t="shared" si="1"/>
        <v>1</v>
      </c>
      <c r="J76" s="27" t="str">
        <f t="shared" si="2"/>
        <v>
 - DIL01160 - FENÔMENOS DE TRANSPORTE A</v>
      </c>
      <c r="K76" s="27" t="str">
        <f t="shared" si="3"/>
        <v>GERAÇÃO, DISTRIBUIÇÃO E UTILIZAÇÃO DE VAPOR</v>
      </c>
    </row>
    <row r="77">
      <c r="A77" s="21" t="s">
        <v>469</v>
      </c>
      <c r="B77" s="21" t="s">
        <v>470</v>
      </c>
      <c r="C77" s="21" t="s">
        <v>34</v>
      </c>
      <c r="D77" s="21">
        <v>4.0</v>
      </c>
      <c r="E77" s="21">
        <v>60.0</v>
      </c>
      <c r="F77" s="21">
        <v>0.0</v>
      </c>
      <c r="H77" s="22" t="s">
        <v>453</v>
      </c>
      <c r="I77" s="24">
        <f t="shared" si="1"/>
        <v>2</v>
      </c>
      <c r="J77" s="27" t="str">
        <f t="shared" si="2"/>
        <v>
 - DIL01112 - ESTATÍSTICA I
 - e DIL01261 - ELETRÔNICA BÁSICA</v>
      </c>
      <c r="K77" s="27" t="str">
        <f t="shared" si="3"/>
        <v>INSTRUMENTAÇÃO PARA SISTEMAS DE ENERGIA</v>
      </c>
    </row>
    <row r="78">
      <c r="A78" s="21" t="s">
        <v>471</v>
      </c>
      <c r="B78" s="21" t="s">
        <v>472</v>
      </c>
      <c r="C78" s="21" t="s">
        <v>97</v>
      </c>
      <c r="D78" s="21">
        <v>4.0</v>
      </c>
      <c r="E78" s="21">
        <v>60.0</v>
      </c>
      <c r="F78" s="21">
        <v>0.0</v>
      </c>
      <c r="H78" s="22" t="s">
        <v>453</v>
      </c>
      <c r="I78" s="24">
        <f t="shared" si="1"/>
        <v>2</v>
      </c>
      <c r="J78" s="27" t="str">
        <f t="shared" si="2"/>
        <v>
 - DIL01261 - ELETRÔNICA BÁSICA
 - e DIL01262 - LABORATÓRIO DE ELETRÔNICA BÁSICA</v>
      </c>
      <c r="K78" s="27" t="str">
        <f t="shared" si="3"/>
        <v>MICROCONTROLADORES</v>
      </c>
    </row>
    <row r="79">
      <c r="A79" s="21" t="s">
        <v>473</v>
      </c>
      <c r="B79" s="21" t="s">
        <v>475</v>
      </c>
      <c r="C79" s="21" t="s">
        <v>34</v>
      </c>
      <c r="D79" s="21">
        <v>4.0</v>
      </c>
      <c r="E79" s="21">
        <v>60.0</v>
      </c>
      <c r="F79" s="21">
        <v>0.0</v>
      </c>
      <c r="H79" s="22" t="s">
        <v>453</v>
      </c>
      <c r="I79" s="24">
        <f t="shared" si="1"/>
        <v>2</v>
      </c>
      <c r="J79" s="27" t="str">
        <f t="shared" si="2"/>
        <v>
 - DIL01125 - FUNDAMENTOS DO ELETROMAGNETISMO
 - e DIL01137 - MECÂNICA E RESISTÊNCIA DOS MATERIAIS</v>
      </c>
      <c r="K79" s="27" t="str">
        <f t="shared" si="3"/>
        <v>TRANSPORTE DE ENERGIA ELÉTRICA</v>
      </c>
    </row>
    <row r="80">
      <c r="A80" s="21" t="s">
        <v>477</v>
      </c>
      <c r="B80" s="21" t="s">
        <v>478</v>
      </c>
      <c r="C80" s="21" t="s">
        <v>34</v>
      </c>
      <c r="D80" s="21">
        <v>4.0</v>
      </c>
      <c r="E80" s="21">
        <v>60.0</v>
      </c>
      <c r="F80" s="21">
        <v>15.0</v>
      </c>
      <c r="H80" s="22" t="s">
        <v>479</v>
      </c>
      <c r="I80" s="24">
        <f t="shared" si="1"/>
        <v>1</v>
      </c>
      <c r="J80" s="27" t="str">
        <f t="shared" si="2"/>
        <v>
 - DIL01267 - CLIMATIZAÇÃO</v>
      </c>
      <c r="K80" s="27" t="str">
        <f t="shared" si="3"/>
        <v>EFICIÊNCIA ENERGÉTICA EM INSTALAÇÕES E SISTEMAS</v>
      </c>
    </row>
    <row r="81">
      <c r="A81" s="21" t="s">
        <v>481</v>
      </c>
      <c r="B81" s="21" t="s">
        <v>483</v>
      </c>
      <c r="C81" s="21" t="s">
        <v>34</v>
      </c>
      <c r="D81" s="21">
        <v>4.0</v>
      </c>
      <c r="E81" s="21">
        <v>60.0</v>
      </c>
      <c r="F81" s="21">
        <v>8.0</v>
      </c>
      <c r="H81" s="22" t="s">
        <v>479</v>
      </c>
      <c r="I81" s="24">
        <f t="shared" si="1"/>
        <v>1</v>
      </c>
      <c r="J81" s="27" t="str">
        <f t="shared" si="2"/>
        <v>
 - DIL01264 - COMBUSTÃO E COMBUSTÍVEIS</v>
      </c>
      <c r="K81" s="27" t="str">
        <f t="shared" si="3"/>
        <v>ENERGIA DA BIOMASSA</v>
      </c>
    </row>
    <row r="82">
      <c r="A82" s="21" t="s">
        <v>486</v>
      </c>
      <c r="B82" s="21" t="s">
        <v>487</v>
      </c>
      <c r="C82" s="21" t="s">
        <v>34</v>
      </c>
      <c r="D82" s="21">
        <v>4.0</v>
      </c>
      <c r="E82" s="21">
        <v>60.0</v>
      </c>
      <c r="F82" s="21">
        <v>16.0</v>
      </c>
      <c r="H82" s="22" t="s">
        <v>479</v>
      </c>
      <c r="I82" s="24">
        <f t="shared" si="1"/>
        <v>1</v>
      </c>
      <c r="J82" s="27" t="str">
        <f t="shared" si="2"/>
        <v>
 - DIL01159 - CIÊNCIA E TECNOLOGIA DOS MATERIAIS</v>
      </c>
      <c r="K82" s="27" t="str">
        <f t="shared" si="3"/>
        <v>ENERGIA SOLAR</v>
      </c>
    </row>
    <row r="83">
      <c r="B83" s="21" t="s">
        <v>488</v>
      </c>
      <c r="C83" s="21" t="s">
        <v>34</v>
      </c>
      <c r="D83" s="21">
        <v>0.0</v>
      </c>
      <c r="E83" s="21">
        <v>160.0</v>
      </c>
      <c r="F83" s="21">
        <v>0.0</v>
      </c>
      <c r="H83" s="22" t="s">
        <v>479</v>
      </c>
      <c r="I83" s="24">
        <f t="shared" si="1"/>
        <v>1</v>
      </c>
      <c r="J83" s="27" t="str">
        <f t="shared" si="2"/>
        <v>
 - Créditos Obrigatórios - 180</v>
      </c>
      <c r="K83" s="27" t="str">
        <f t="shared" si="3"/>
        <v>ESTÁGIO CURRICULAR PARA ENGENHARIA DE GESTÃO DE ENERGIA</v>
      </c>
    </row>
    <row r="84">
      <c r="A84" s="21" t="s">
        <v>491</v>
      </c>
      <c r="B84" s="21" t="s">
        <v>492</v>
      </c>
      <c r="C84" s="21" t="s">
        <v>34</v>
      </c>
      <c r="D84" s="21">
        <v>2.0</v>
      </c>
      <c r="E84" s="21">
        <v>30.0</v>
      </c>
      <c r="F84" s="21">
        <v>0.0</v>
      </c>
      <c r="H84" s="22" t="s">
        <v>479</v>
      </c>
      <c r="I84" s="24">
        <f t="shared" si="1"/>
        <v>1</v>
      </c>
      <c r="J84" s="27" t="str">
        <f t="shared" si="2"/>
        <v>
 - DIL01161 - CONVERSÃO DE ENERGIA E MÁQUINAS ELÉTRICAS</v>
      </c>
      <c r="K84" s="27" t="str">
        <f t="shared" si="3"/>
        <v>INSTALAÇÕES ELÉTRICAS DE BAIXA TENSÃO</v>
      </c>
    </row>
    <row r="85">
      <c r="A85" s="21" t="s">
        <v>493</v>
      </c>
      <c r="B85" s="21" t="s">
        <v>495</v>
      </c>
      <c r="C85" s="21" t="s">
        <v>34</v>
      </c>
      <c r="D85" s="21">
        <v>2.0</v>
      </c>
      <c r="E85" s="21">
        <v>30.0</v>
      </c>
      <c r="F85" s="21">
        <v>0.0</v>
      </c>
      <c r="H85" s="22" t="s">
        <v>479</v>
      </c>
      <c r="I85" s="24">
        <f t="shared" si="1"/>
        <v>1</v>
      </c>
      <c r="J85" s="27" t="str">
        <f t="shared" si="2"/>
        <v>
 - DIL01161 - CONVERSÃO DE ENERGIA E MÁQUINAS ELÉTRICAS</v>
      </c>
      <c r="K85" s="27" t="str">
        <f t="shared" si="3"/>
        <v>INSTALAÇÕES ELÉTRICAS INDUSTRIAIS</v>
      </c>
    </row>
    <row r="86">
      <c r="A86" s="21" t="s">
        <v>497</v>
      </c>
      <c r="B86" s="21" t="s">
        <v>499</v>
      </c>
      <c r="C86" s="21" t="s">
        <v>97</v>
      </c>
      <c r="D86" s="21">
        <v>4.0</v>
      </c>
      <c r="E86" s="21">
        <v>60.0</v>
      </c>
      <c r="F86" s="21">
        <v>0.0</v>
      </c>
      <c r="H86" s="22" t="s">
        <v>479</v>
      </c>
      <c r="I86" s="24">
        <f t="shared" si="1"/>
        <v>1</v>
      </c>
      <c r="J86" s="27" t="str">
        <f t="shared" si="2"/>
        <v>
 - DIL01272 - ENERGIA EÓLICA</v>
      </c>
      <c r="K86" s="27" t="str">
        <f t="shared" si="3"/>
        <v>INTRODUÇÃO À SIMULAÇÃO NUMÉRICA DE SISTEMAS DE ENERGIA</v>
      </c>
    </row>
    <row r="87">
      <c r="A87" s="21" t="s">
        <v>500</v>
      </c>
      <c r="B87" s="21" t="s">
        <v>501</v>
      </c>
      <c r="C87" s="21" t="s">
        <v>34</v>
      </c>
      <c r="D87" s="21">
        <v>4.0</v>
      </c>
      <c r="E87" s="21">
        <v>60.0</v>
      </c>
      <c r="F87" s="21">
        <v>0.0</v>
      </c>
      <c r="H87" s="22" t="s">
        <v>479</v>
      </c>
      <c r="I87" s="24">
        <f t="shared" si="1"/>
        <v>1</v>
      </c>
      <c r="J87" s="27" t="str">
        <f t="shared" si="2"/>
        <v>
 - DIL01274 - TRANSPORTE DE ENERGIA ELÉTRICA</v>
      </c>
      <c r="K87" s="27" t="str">
        <f t="shared" si="3"/>
        <v>REGULAÇÃO GOVERNAMENTAL NO MERCADO DE ENERGIA</v>
      </c>
    </row>
    <row r="88">
      <c r="B88" s="21" t="s">
        <v>504</v>
      </c>
      <c r="C88" s="21" t="s">
        <v>34</v>
      </c>
      <c r="D88" s="21">
        <v>0.0</v>
      </c>
      <c r="E88" s="21">
        <v>30.0</v>
      </c>
      <c r="F88" s="21">
        <v>0.0</v>
      </c>
      <c r="H88" s="22" t="s">
        <v>479</v>
      </c>
      <c r="I88" s="24">
        <f t="shared" si="1"/>
        <v>1</v>
      </c>
      <c r="J88" s="27" t="str">
        <f t="shared" si="2"/>
        <v>
 - Créditos Obrigatórios - 180</v>
      </c>
      <c r="K88" s="27" t="str">
        <f t="shared" si="3"/>
        <v>TRABALHO DE CONCLUSÃO DE CURSO I - ENGENHARIA DE GESTÃO DE ENERGIA</v>
      </c>
    </row>
    <row r="89">
      <c r="A89" s="21" t="s">
        <v>505</v>
      </c>
      <c r="B89" s="21" t="s">
        <v>506</v>
      </c>
      <c r="C89" s="21" t="s">
        <v>34</v>
      </c>
      <c r="D89" s="21">
        <v>4.0</v>
      </c>
      <c r="E89" s="21">
        <v>60.0</v>
      </c>
      <c r="F89" s="21">
        <v>15.0</v>
      </c>
      <c r="H89" s="22" t="s">
        <v>507</v>
      </c>
      <c r="I89" s="24">
        <f t="shared" si="1"/>
        <v>3</v>
      </c>
      <c r="J89" s="27" t="str">
        <f t="shared" si="2"/>
        <v>
 - DIL01154 - ECONOMIA E AMBIENTE
 - e DIL01158 - ADMINISTRAÇÃO
 - e DIL01270 - EFICIÊNCIA ENERGÉTICA EM INSTALAÇÕES E SISTEMAS</v>
      </c>
      <c r="K89" s="27" t="str">
        <f t="shared" si="3"/>
        <v>AUDITORIA ENERGÉTICA</v>
      </c>
    </row>
    <row r="90">
      <c r="A90" s="21" t="s">
        <v>512</v>
      </c>
      <c r="B90" s="21" t="s">
        <v>513</v>
      </c>
      <c r="C90" s="21" t="s">
        <v>97</v>
      </c>
      <c r="D90" s="21">
        <v>4.0</v>
      </c>
      <c r="E90" s="21">
        <v>60.0</v>
      </c>
      <c r="F90" s="21">
        <v>0.0</v>
      </c>
      <c r="H90" s="22" t="s">
        <v>507</v>
      </c>
      <c r="I90" s="24">
        <f t="shared" si="1"/>
        <v>2</v>
      </c>
      <c r="J90" s="27" t="str">
        <f t="shared" si="2"/>
        <v>
 - DIL01274 - TRANSPORTE DE ENERGIA ELÉTRICA
 - e DIL01280 - REGULAÇÃO GOVERNAMENTAL NO MERCADO DE ENERGIA</v>
      </c>
      <c r="K90" s="27" t="str">
        <f t="shared" si="3"/>
        <v>CONTROLE DE PRODUÇÃO E PLANEJAMENTO DE SISTEMAS ENERGÉTICOS</v>
      </c>
    </row>
    <row r="91">
      <c r="A91" s="21" t="s">
        <v>516</v>
      </c>
      <c r="B91" s="21" t="s">
        <v>517</v>
      </c>
      <c r="C91" s="21" t="s">
        <v>34</v>
      </c>
      <c r="D91" s="21">
        <v>2.0</v>
      </c>
      <c r="E91" s="21">
        <v>30.0</v>
      </c>
      <c r="F91" s="21">
        <v>15.0</v>
      </c>
      <c r="H91" s="22" t="s">
        <v>507</v>
      </c>
      <c r="I91" s="24">
        <f t="shared" si="1"/>
        <v>0</v>
      </c>
      <c r="J91" s="27" t="str">
        <f t="shared" si="2"/>
        <v/>
      </c>
      <c r="K91" s="27" t="str">
        <f t="shared" si="3"/>
        <v>ENGENHARIA DE SEGURANÇA DO TRABALHO</v>
      </c>
    </row>
    <row r="92">
      <c r="A92" s="21" t="s">
        <v>518</v>
      </c>
      <c r="B92" s="21" t="s">
        <v>519</v>
      </c>
      <c r="C92" s="21" t="s">
        <v>34</v>
      </c>
      <c r="D92" s="21">
        <v>2.0</v>
      </c>
      <c r="E92" s="21">
        <v>30.0</v>
      </c>
      <c r="F92" s="21">
        <v>0.0</v>
      </c>
      <c r="H92" s="22" t="s">
        <v>507</v>
      </c>
      <c r="I92" s="24">
        <f t="shared" si="1"/>
        <v>0</v>
      </c>
      <c r="J92" s="27" t="str">
        <f t="shared" si="2"/>
        <v/>
      </c>
      <c r="K92" s="27" t="str">
        <f t="shared" si="3"/>
        <v>ÉTICA E EXERCÍCIO PROFISSIONAL EM ENGENHARIA</v>
      </c>
    </row>
    <row r="93">
      <c r="A93" s="21" t="s">
        <v>520</v>
      </c>
      <c r="B93" s="21" t="s">
        <v>521</v>
      </c>
      <c r="C93" s="21" t="s">
        <v>34</v>
      </c>
      <c r="D93" s="21">
        <v>4.0</v>
      </c>
      <c r="E93" s="21">
        <v>60.0</v>
      </c>
      <c r="F93" s="21">
        <v>18.0</v>
      </c>
      <c r="H93" s="22" t="s">
        <v>507</v>
      </c>
      <c r="I93" s="24">
        <f t="shared" si="1"/>
        <v>2</v>
      </c>
      <c r="J93" s="27" t="str">
        <f t="shared" si="2"/>
        <v>
 - DIL01158 - ADMINISTRAÇÃO
 - e DIL01270 - EFICIÊNCIA ENERGÉTICA EM INSTALAÇÕES E SISTEMAS</v>
      </c>
      <c r="K93" s="27" t="str">
        <f t="shared" si="3"/>
        <v>GESTÃO DA EFICIÊNCIA ENERGÉTICA EM INSTALAÇÕES DE ENERGIA E SISTEMAS DE TRANSPORTE</v>
      </c>
    </row>
    <row r="94">
      <c r="A94" s="21" t="s">
        <v>523</v>
      </c>
      <c r="B94" s="21" t="s">
        <v>525</v>
      </c>
      <c r="C94" s="21" t="s">
        <v>97</v>
      </c>
      <c r="D94" s="21">
        <v>4.0</v>
      </c>
      <c r="E94" s="21">
        <v>60.0</v>
      </c>
      <c r="F94" s="21">
        <v>0.0</v>
      </c>
      <c r="H94" s="22" t="s">
        <v>507</v>
      </c>
      <c r="I94" s="24">
        <f t="shared" si="1"/>
        <v>1</v>
      </c>
      <c r="J94" s="27" t="str">
        <f t="shared" si="2"/>
        <v>
 - DIL01275 - ANÁLISE DE SISTEMAS DE ENERGIA ELÉTRICA</v>
      </c>
      <c r="K94" s="27" t="str">
        <f t="shared" si="3"/>
        <v>PLANEJAMENTO ESTRATÉGICO NA INDUSTRIA DE ENERGIA</v>
      </c>
    </row>
    <row r="95">
      <c r="A95" s="21" t="s">
        <v>526</v>
      </c>
      <c r="B95" s="21" t="s">
        <v>527</v>
      </c>
      <c r="C95" s="21" t="s">
        <v>34</v>
      </c>
      <c r="D95" s="21">
        <v>4.0</v>
      </c>
      <c r="E95" s="21">
        <v>60.0</v>
      </c>
      <c r="F95" s="21">
        <v>0.0</v>
      </c>
      <c r="H95" s="22" t="s">
        <v>507</v>
      </c>
      <c r="I95" s="24">
        <f t="shared" si="1"/>
        <v>1</v>
      </c>
      <c r="J95" s="27" t="str">
        <f t="shared" si="2"/>
        <v>
 - Créditos Obrigatórios - 140</v>
      </c>
      <c r="K95" s="27" t="str">
        <f t="shared" si="3"/>
        <v>PROJETOS INTERDISCIPLINARES</v>
      </c>
    </row>
    <row r="96">
      <c r="A96" s="21" t="s">
        <v>530</v>
      </c>
      <c r="B96" s="21" t="s">
        <v>531</v>
      </c>
      <c r="C96" s="21" t="s">
        <v>97</v>
      </c>
      <c r="D96" s="21">
        <v>4.0</v>
      </c>
      <c r="E96" s="21">
        <v>60.0</v>
      </c>
      <c r="F96" s="21">
        <v>0.0</v>
      </c>
      <c r="H96" s="22" t="s">
        <v>507</v>
      </c>
      <c r="I96" s="24">
        <f t="shared" si="1"/>
        <v>0</v>
      </c>
      <c r="J96" s="27" t="str">
        <f t="shared" si="2"/>
        <v/>
      </c>
      <c r="K96" s="27" t="str">
        <f t="shared" si="3"/>
        <v>TÓPICOS ESPECIAIS EM ENGENHARIA DE GESTÃO DE ENERGIA</v>
      </c>
    </row>
    <row r="97">
      <c r="B97" s="21" t="s">
        <v>532</v>
      </c>
      <c r="C97" s="21" t="s">
        <v>34</v>
      </c>
      <c r="D97" s="21">
        <v>0.0</v>
      </c>
      <c r="E97" s="21">
        <v>60.0</v>
      </c>
      <c r="F97" s="21">
        <v>0.0</v>
      </c>
      <c r="H97" s="22" t="s">
        <v>507</v>
      </c>
      <c r="I97" s="24">
        <f t="shared" si="1"/>
        <v>1</v>
      </c>
      <c r="J97" s="27" t="str">
        <f t="shared" si="2"/>
        <v>
 - TRABALHO - TRABALHO DE CONCLUSÃO DE CURSO I - ENGENHARIA DE GESTÃO DE ENERGIA</v>
      </c>
      <c r="K97" s="27" t="str">
        <f t="shared" si="3"/>
        <v>TRABALHO DE CONCLUSÃO DE CURSO II - ENGENHARIA DE GESTÃO DE ENERGIA</v>
      </c>
    </row>
    <row r="98">
      <c r="J98" s="29"/>
      <c r="K98" s="29"/>
    </row>
    <row r="99">
      <c r="J99" s="29"/>
      <c r="K99" s="29"/>
    </row>
    <row r="100">
      <c r="J100" s="29"/>
      <c r="K100" s="29"/>
    </row>
    <row r="101">
      <c r="J101" s="29"/>
      <c r="K101" s="29"/>
    </row>
    <row r="102">
      <c r="J102" s="29"/>
      <c r="K102" s="29"/>
    </row>
    <row r="103">
      <c r="J103" s="29"/>
      <c r="K103" s="29"/>
    </row>
    <row r="104">
      <c r="J104" s="29"/>
      <c r="K104" s="29"/>
    </row>
    <row r="105">
      <c r="J105" s="29"/>
      <c r="K105" s="29"/>
    </row>
    <row r="106">
      <c r="J106" s="29"/>
      <c r="K106" s="29"/>
    </row>
    <row r="107">
      <c r="J107" s="29"/>
      <c r="K107" s="29"/>
    </row>
    <row r="108">
      <c r="J108" s="29"/>
      <c r="K108" s="29"/>
    </row>
    <row r="109">
      <c r="J109" s="29"/>
      <c r="K109" s="29"/>
    </row>
    <row r="110">
      <c r="J110" s="29"/>
      <c r="K110" s="29"/>
    </row>
    <row r="111">
      <c r="J111" s="29"/>
      <c r="K111" s="29"/>
    </row>
    <row r="112">
      <c r="J112" s="29"/>
      <c r="K112" s="29"/>
    </row>
    <row r="113">
      <c r="J113" s="29"/>
      <c r="K113" s="29"/>
    </row>
    <row r="114">
      <c r="J114" s="29"/>
      <c r="K114" s="29"/>
    </row>
    <row r="115">
      <c r="J115" s="29"/>
      <c r="K115" s="29"/>
    </row>
    <row r="116">
      <c r="J116" s="29"/>
      <c r="K116" s="29"/>
    </row>
    <row r="117">
      <c r="J117" s="29"/>
      <c r="K117" s="29"/>
    </row>
    <row r="118">
      <c r="J118" s="29"/>
      <c r="K118" s="29"/>
    </row>
    <row r="119">
      <c r="J119" s="29"/>
      <c r="K119" s="29"/>
    </row>
    <row r="120">
      <c r="J120" s="29"/>
      <c r="K120" s="29"/>
    </row>
    <row r="121">
      <c r="J121" s="29"/>
      <c r="K121" s="29"/>
    </row>
    <row r="122">
      <c r="J122" s="29"/>
      <c r="K122" s="29"/>
    </row>
    <row r="123">
      <c r="J123" s="29"/>
      <c r="K123" s="29"/>
    </row>
    <row r="124">
      <c r="J124" s="29"/>
      <c r="K124" s="29"/>
    </row>
    <row r="125">
      <c r="J125" s="29"/>
      <c r="K125" s="29"/>
    </row>
    <row r="126">
      <c r="J126" s="29"/>
      <c r="K126" s="29"/>
    </row>
    <row r="127">
      <c r="J127" s="29"/>
      <c r="K127" s="29"/>
    </row>
    <row r="128">
      <c r="J128" s="29"/>
      <c r="K128" s="29"/>
    </row>
    <row r="129">
      <c r="J129" s="29"/>
      <c r="K129" s="29"/>
    </row>
    <row r="130">
      <c r="J130" s="29"/>
      <c r="K130" s="29"/>
    </row>
    <row r="131">
      <c r="J131" s="29"/>
      <c r="K131" s="29"/>
    </row>
    <row r="132">
      <c r="J132" s="29"/>
      <c r="K132" s="29"/>
    </row>
    <row r="133">
      <c r="J133" s="29"/>
      <c r="K133" s="29"/>
    </row>
    <row r="134">
      <c r="J134" s="29"/>
      <c r="K134" s="29"/>
    </row>
    <row r="135">
      <c r="J135" s="29"/>
      <c r="K135" s="29"/>
    </row>
    <row r="136">
      <c r="J136" s="29"/>
      <c r="K136" s="29"/>
    </row>
    <row r="137">
      <c r="J137" s="29"/>
      <c r="K137" s="29"/>
    </row>
    <row r="138">
      <c r="J138" s="29"/>
      <c r="K138" s="29"/>
    </row>
    <row r="139">
      <c r="J139" s="29"/>
      <c r="K139" s="29"/>
    </row>
    <row r="140">
      <c r="J140" s="29"/>
      <c r="K140" s="29"/>
    </row>
    <row r="141">
      <c r="J141" s="29"/>
      <c r="K141" s="29"/>
    </row>
    <row r="142">
      <c r="J142" s="29"/>
      <c r="K142" s="29"/>
    </row>
    <row r="143">
      <c r="J143" s="29"/>
      <c r="K143" s="29"/>
    </row>
    <row r="144">
      <c r="J144" s="29"/>
      <c r="K144" s="29"/>
    </row>
    <row r="145">
      <c r="J145" s="29"/>
      <c r="K145" s="29"/>
    </row>
    <row r="146">
      <c r="J146" s="29"/>
      <c r="K146" s="29"/>
    </row>
    <row r="147">
      <c r="J147" s="29"/>
      <c r="K147" s="29"/>
    </row>
    <row r="148">
      <c r="J148" s="29"/>
      <c r="K148" s="29"/>
    </row>
    <row r="149">
      <c r="J149" s="29"/>
      <c r="K149" s="29"/>
    </row>
    <row r="150">
      <c r="J150" s="29"/>
      <c r="K150" s="29"/>
    </row>
    <row r="151">
      <c r="J151" s="29"/>
      <c r="K151" s="29"/>
    </row>
    <row r="152">
      <c r="J152" s="29"/>
      <c r="K152" s="29"/>
    </row>
    <row r="153">
      <c r="J153" s="29"/>
      <c r="K153" s="29"/>
    </row>
    <row r="154">
      <c r="J154" s="29"/>
      <c r="K154" s="29"/>
    </row>
    <row r="155">
      <c r="J155" s="29"/>
      <c r="K155" s="29"/>
    </row>
    <row r="156">
      <c r="J156" s="29"/>
      <c r="K156" s="29"/>
    </row>
    <row r="157">
      <c r="J157" s="29"/>
      <c r="K157" s="29"/>
    </row>
    <row r="158">
      <c r="J158" s="29"/>
      <c r="K158" s="29"/>
    </row>
    <row r="159">
      <c r="J159" s="29"/>
      <c r="K159" s="29"/>
    </row>
    <row r="160">
      <c r="J160" s="29"/>
      <c r="K160" s="29"/>
    </row>
    <row r="161">
      <c r="J161" s="29"/>
      <c r="K161" s="29"/>
    </row>
    <row r="162">
      <c r="J162" s="29"/>
      <c r="K162" s="29"/>
    </row>
    <row r="163">
      <c r="J163" s="29"/>
      <c r="K163" s="29"/>
    </row>
    <row r="164">
      <c r="J164" s="29"/>
      <c r="K164" s="29"/>
    </row>
    <row r="165">
      <c r="J165" s="29"/>
      <c r="K165" s="29"/>
    </row>
    <row r="166">
      <c r="J166" s="29"/>
      <c r="K166" s="29"/>
    </row>
    <row r="167">
      <c r="J167" s="29"/>
      <c r="K167" s="29"/>
    </row>
    <row r="168">
      <c r="J168" s="29"/>
      <c r="K168" s="29"/>
    </row>
    <row r="169">
      <c r="J169" s="29"/>
      <c r="K169" s="29"/>
    </row>
    <row r="170">
      <c r="J170" s="29"/>
      <c r="K170" s="29"/>
    </row>
    <row r="171">
      <c r="J171" s="29"/>
      <c r="K171" s="29"/>
    </row>
    <row r="172">
      <c r="J172" s="29"/>
      <c r="K172" s="29"/>
    </row>
    <row r="173">
      <c r="J173" s="29"/>
      <c r="K173" s="29"/>
    </row>
    <row r="174">
      <c r="J174" s="29"/>
      <c r="K174" s="29"/>
    </row>
    <row r="175">
      <c r="J175" s="29"/>
      <c r="K175" s="29"/>
    </row>
    <row r="176">
      <c r="J176" s="29"/>
      <c r="K176" s="29"/>
    </row>
    <row r="177">
      <c r="J177" s="29"/>
      <c r="K177" s="29"/>
    </row>
    <row r="178">
      <c r="J178" s="29"/>
      <c r="K178" s="29"/>
    </row>
    <row r="179">
      <c r="J179" s="29"/>
      <c r="K179" s="29"/>
    </row>
    <row r="180">
      <c r="J180" s="29"/>
      <c r="K180" s="29"/>
    </row>
    <row r="181">
      <c r="J181" s="29"/>
      <c r="K181" s="29"/>
    </row>
    <row r="182">
      <c r="J182" s="29"/>
      <c r="K182" s="29"/>
    </row>
    <row r="183">
      <c r="J183" s="29"/>
      <c r="K183" s="29"/>
    </row>
    <row r="184">
      <c r="J184" s="29"/>
      <c r="K184" s="29"/>
    </row>
    <row r="185">
      <c r="J185" s="29"/>
      <c r="K185" s="29"/>
    </row>
    <row r="186">
      <c r="J186" s="29"/>
      <c r="K186" s="29"/>
    </row>
    <row r="187">
      <c r="J187" s="29"/>
      <c r="K187" s="29"/>
    </row>
    <row r="188">
      <c r="J188" s="29"/>
      <c r="K188" s="29"/>
    </row>
    <row r="189">
      <c r="J189" s="29"/>
      <c r="K189" s="29"/>
    </row>
    <row r="190">
      <c r="J190" s="29"/>
      <c r="K190" s="29"/>
    </row>
    <row r="191">
      <c r="J191" s="29"/>
      <c r="K191" s="29"/>
    </row>
    <row r="192">
      <c r="J192" s="29"/>
      <c r="K192" s="29"/>
    </row>
    <row r="193">
      <c r="J193" s="29"/>
      <c r="K193" s="29"/>
    </row>
    <row r="194">
      <c r="J194" s="29"/>
      <c r="K194" s="29"/>
    </row>
    <row r="195">
      <c r="J195" s="29"/>
      <c r="K195" s="29"/>
    </row>
    <row r="196">
      <c r="J196" s="29"/>
      <c r="K196" s="29"/>
    </row>
    <row r="197">
      <c r="J197" s="29"/>
      <c r="K197" s="29"/>
    </row>
    <row r="198">
      <c r="J198" s="29"/>
      <c r="K198" s="29"/>
    </row>
    <row r="199">
      <c r="J199" s="29"/>
      <c r="K199" s="29"/>
    </row>
    <row r="200">
      <c r="J200" s="29"/>
      <c r="K200" s="29"/>
    </row>
    <row r="201">
      <c r="J201" s="29"/>
      <c r="K201" s="29"/>
    </row>
    <row r="202">
      <c r="J202" s="29"/>
      <c r="K202" s="29"/>
    </row>
    <row r="203">
      <c r="J203" s="29"/>
      <c r="K203" s="29"/>
    </row>
    <row r="204">
      <c r="J204" s="29"/>
      <c r="K204" s="29"/>
    </row>
    <row r="205">
      <c r="J205" s="29"/>
      <c r="K205" s="29"/>
    </row>
    <row r="206">
      <c r="J206" s="29"/>
      <c r="K206" s="29"/>
    </row>
    <row r="207">
      <c r="J207" s="29"/>
      <c r="K207" s="29"/>
    </row>
    <row r="208">
      <c r="J208" s="29"/>
      <c r="K208" s="29"/>
    </row>
    <row r="209">
      <c r="J209" s="29"/>
      <c r="K209" s="29"/>
    </row>
    <row r="210">
      <c r="J210" s="29"/>
      <c r="K210" s="29"/>
    </row>
    <row r="211">
      <c r="J211" s="29"/>
      <c r="K211" s="29"/>
    </row>
    <row r="212">
      <c r="J212" s="29"/>
      <c r="K212" s="29"/>
    </row>
    <row r="213">
      <c r="J213" s="29"/>
      <c r="K213" s="29"/>
    </row>
    <row r="214">
      <c r="J214" s="29"/>
      <c r="K214" s="29"/>
    </row>
    <row r="215">
      <c r="J215" s="29"/>
      <c r="K215" s="29"/>
    </row>
    <row r="216">
      <c r="J216" s="29"/>
      <c r="K216" s="29"/>
    </row>
    <row r="217">
      <c r="J217" s="29"/>
      <c r="K217" s="29"/>
    </row>
    <row r="218">
      <c r="J218" s="29"/>
      <c r="K218" s="29"/>
    </row>
    <row r="219">
      <c r="J219" s="29"/>
      <c r="K219" s="29"/>
    </row>
    <row r="220">
      <c r="J220" s="29"/>
      <c r="K220" s="29"/>
    </row>
    <row r="221">
      <c r="J221" s="29"/>
      <c r="K221" s="29"/>
    </row>
    <row r="222">
      <c r="J222" s="29"/>
      <c r="K222" s="29"/>
    </row>
    <row r="223">
      <c r="J223" s="29"/>
      <c r="K223" s="29"/>
    </row>
    <row r="224">
      <c r="J224" s="29"/>
      <c r="K224" s="29"/>
    </row>
    <row r="225">
      <c r="J225" s="29"/>
      <c r="K225" s="29"/>
    </row>
    <row r="226">
      <c r="J226" s="29"/>
      <c r="K226" s="29"/>
    </row>
    <row r="227">
      <c r="J227" s="29"/>
      <c r="K227" s="29"/>
    </row>
    <row r="228">
      <c r="J228" s="29"/>
      <c r="K228" s="29"/>
    </row>
    <row r="229">
      <c r="J229" s="29"/>
      <c r="K229" s="29"/>
    </row>
    <row r="230">
      <c r="J230" s="29"/>
      <c r="K230" s="29"/>
    </row>
    <row r="231">
      <c r="J231" s="29"/>
      <c r="K231" s="29"/>
    </row>
    <row r="232">
      <c r="J232" s="29"/>
      <c r="K232" s="29"/>
    </row>
    <row r="233">
      <c r="J233" s="29"/>
      <c r="K233" s="29"/>
    </row>
    <row r="234">
      <c r="J234" s="29"/>
      <c r="K234" s="29"/>
    </row>
    <row r="235">
      <c r="J235" s="29"/>
      <c r="K235" s="29"/>
    </row>
    <row r="236">
      <c r="J236" s="29"/>
      <c r="K236" s="29"/>
    </row>
    <row r="237">
      <c r="J237" s="29"/>
      <c r="K237" s="29"/>
    </row>
    <row r="238">
      <c r="J238" s="29"/>
      <c r="K238" s="29"/>
    </row>
    <row r="239">
      <c r="J239" s="29"/>
      <c r="K239" s="29"/>
    </row>
    <row r="240">
      <c r="J240" s="29"/>
      <c r="K240" s="29"/>
    </row>
    <row r="241">
      <c r="J241" s="29"/>
      <c r="K241" s="29"/>
    </row>
    <row r="242">
      <c r="J242" s="29"/>
      <c r="K242" s="29"/>
    </row>
    <row r="243">
      <c r="J243" s="29"/>
      <c r="K243" s="29"/>
    </row>
    <row r="244">
      <c r="J244" s="29"/>
      <c r="K244" s="29"/>
    </row>
    <row r="245">
      <c r="J245" s="29"/>
      <c r="K245" s="29"/>
    </row>
    <row r="246">
      <c r="J246" s="29"/>
      <c r="K246" s="29"/>
    </row>
    <row r="247">
      <c r="J247" s="29"/>
      <c r="K247" s="29"/>
    </row>
    <row r="248">
      <c r="J248" s="29"/>
      <c r="K248" s="29"/>
    </row>
    <row r="249">
      <c r="J249" s="29"/>
      <c r="K249" s="29"/>
    </row>
    <row r="250">
      <c r="J250" s="29"/>
      <c r="K250" s="29"/>
    </row>
    <row r="251">
      <c r="J251" s="29"/>
      <c r="K251" s="29"/>
    </row>
    <row r="252">
      <c r="J252" s="29"/>
      <c r="K252" s="29"/>
    </row>
    <row r="253">
      <c r="J253" s="29"/>
      <c r="K253" s="29"/>
    </row>
    <row r="254">
      <c r="J254" s="29"/>
      <c r="K254" s="29"/>
    </row>
    <row r="255">
      <c r="J255" s="29"/>
      <c r="K255" s="29"/>
    </row>
    <row r="256">
      <c r="J256" s="29"/>
      <c r="K256" s="29"/>
    </row>
    <row r="257">
      <c r="J257" s="29"/>
      <c r="K257" s="29"/>
    </row>
    <row r="258">
      <c r="J258" s="29"/>
      <c r="K258" s="29"/>
    </row>
    <row r="259">
      <c r="J259" s="29"/>
      <c r="K259" s="29"/>
    </row>
    <row r="260">
      <c r="J260" s="29"/>
      <c r="K260" s="29"/>
    </row>
    <row r="261">
      <c r="J261" s="29"/>
      <c r="K261" s="29"/>
    </row>
    <row r="262">
      <c r="J262" s="29"/>
      <c r="K262" s="29"/>
    </row>
    <row r="263">
      <c r="J263" s="29"/>
      <c r="K263" s="29"/>
    </row>
    <row r="264">
      <c r="J264" s="29"/>
      <c r="K264" s="29"/>
    </row>
    <row r="265">
      <c r="J265" s="29"/>
      <c r="K265" s="29"/>
    </row>
    <row r="266">
      <c r="J266" s="29"/>
      <c r="K266" s="29"/>
    </row>
    <row r="267">
      <c r="J267" s="29"/>
      <c r="K267" s="29"/>
    </row>
    <row r="268">
      <c r="J268" s="29"/>
      <c r="K268" s="29"/>
    </row>
    <row r="269">
      <c r="J269" s="29"/>
      <c r="K269" s="29"/>
    </row>
    <row r="270">
      <c r="J270" s="29"/>
      <c r="K270" s="29"/>
    </row>
    <row r="271">
      <c r="J271" s="29"/>
      <c r="K271" s="29"/>
    </row>
    <row r="272">
      <c r="J272" s="29"/>
      <c r="K272" s="29"/>
    </row>
    <row r="273">
      <c r="J273" s="29"/>
      <c r="K273" s="29"/>
    </row>
    <row r="274">
      <c r="J274" s="29"/>
      <c r="K274" s="29"/>
    </row>
    <row r="275">
      <c r="J275" s="29"/>
      <c r="K275" s="29"/>
    </row>
    <row r="276">
      <c r="J276" s="29"/>
      <c r="K276" s="29"/>
    </row>
    <row r="277">
      <c r="J277" s="29"/>
      <c r="K277" s="29"/>
    </row>
    <row r="278">
      <c r="J278" s="29"/>
      <c r="K278" s="29"/>
    </row>
    <row r="279">
      <c r="J279" s="29"/>
      <c r="K279" s="29"/>
    </row>
    <row r="280">
      <c r="J280" s="29"/>
      <c r="K280" s="29"/>
    </row>
    <row r="281">
      <c r="J281" s="29"/>
      <c r="K281" s="29"/>
    </row>
    <row r="282">
      <c r="J282" s="29"/>
      <c r="K282" s="29"/>
    </row>
    <row r="283">
      <c r="J283" s="29"/>
      <c r="K283" s="29"/>
    </row>
    <row r="284">
      <c r="J284" s="29"/>
      <c r="K284" s="29"/>
    </row>
    <row r="285">
      <c r="J285" s="29"/>
      <c r="K285" s="29"/>
    </row>
    <row r="286">
      <c r="J286" s="29"/>
      <c r="K286" s="29"/>
    </row>
    <row r="287">
      <c r="J287" s="29"/>
      <c r="K287" s="29"/>
    </row>
    <row r="288">
      <c r="J288" s="29"/>
      <c r="K288" s="29"/>
    </row>
    <row r="289">
      <c r="J289" s="29"/>
      <c r="K289" s="29"/>
    </row>
    <row r="290">
      <c r="J290" s="29"/>
      <c r="K290" s="29"/>
    </row>
    <row r="291">
      <c r="J291" s="29"/>
      <c r="K291" s="29"/>
    </row>
    <row r="292">
      <c r="J292" s="29"/>
      <c r="K292" s="29"/>
    </row>
    <row r="293">
      <c r="J293" s="29"/>
      <c r="K293" s="29"/>
    </row>
    <row r="294">
      <c r="J294" s="29"/>
      <c r="K294" s="29"/>
    </row>
    <row r="295">
      <c r="J295" s="29"/>
      <c r="K295" s="29"/>
    </row>
    <row r="296">
      <c r="J296" s="29"/>
      <c r="K296" s="29"/>
    </row>
    <row r="297">
      <c r="J297" s="29"/>
      <c r="K297" s="29"/>
    </row>
    <row r="298">
      <c r="J298" s="29"/>
      <c r="K298" s="29"/>
    </row>
    <row r="299">
      <c r="J299" s="29"/>
      <c r="K299" s="29"/>
    </row>
    <row r="300">
      <c r="J300" s="29"/>
      <c r="K300" s="29"/>
    </row>
    <row r="301">
      <c r="J301" s="29"/>
      <c r="K301" s="29"/>
    </row>
    <row r="302">
      <c r="J302" s="29"/>
      <c r="K302" s="29"/>
    </row>
    <row r="303">
      <c r="J303" s="29"/>
      <c r="K303" s="29"/>
    </row>
    <row r="304">
      <c r="J304" s="29"/>
      <c r="K304" s="29"/>
    </row>
    <row r="305">
      <c r="J305" s="29"/>
      <c r="K305" s="29"/>
    </row>
    <row r="306">
      <c r="J306" s="29"/>
      <c r="K306" s="29"/>
    </row>
    <row r="307">
      <c r="J307" s="29"/>
      <c r="K307" s="29"/>
    </row>
    <row r="308">
      <c r="J308" s="29"/>
      <c r="K308" s="29"/>
    </row>
    <row r="309">
      <c r="J309" s="29"/>
      <c r="K309" s="29"/>
    </row>
    <row r="310">
      <c r="J310" s="29"/>
      <c r="K310" s="29"/>
    </row>
    <row r="311">
      <c r="J311" s="29"/>
      <c r="K311" s="29"/>
    </row>
    <row r="312">
      <c r="J312" s="29"/>
      <c r="K312" s="29"/>
    </row>
    <row r="313">
      <c r="J313" s="29"/>
      <c r="K313" s="29"/>
    </row>
    <row r="314">
      <c r="J314" s="29"/>
      <c r="K314" s="29"/>
    </row>
    <row r="315">
      <c r="J315" s="29"/>
      <c r="K315" s="29"/>
    </row>
    <row r="316">
      <c r="J316" s="29"/>
      <c r="K316" s="29"/>
    </row>
    <row r="317">
      <c r="J317" s="29"/>
      <c r="K317" s="29"/>
    </row>
    <row r="318">
      <c r="J318" s="29"/>
      <c r="K318" s="29"/>
    </row>
    <row r="319">
      <c r="J319" s="29"/>
      <c r="K319" s="29"/>
    </row>
    <row r="320">
      <c r="J320" s="29"/>
      <c r="K320" s="29"/>
    </row>
    <row r="321">
      <c r="J321" s="29"/>
      <c r="K321" s="29"/>
    </row>
    <row r="322">
      <c r="J322" s="29"/>
      <c r="K322" s="29"/>
    </row>
    <row r="323">
      <c r="J323" s="29"/>
      <c r="K323" s="29"/>
    </row>
    <row r="324">
      <c r="J324" s="29"/>
      <c r="K324" s="29"/>
    </row>
    <row r="325">
      <c r="J325" s="29"/>
      <c r="K325" s="29"/>
    </row>
    <row r="326">
      <c r="J326" s="29"/>
      <c r="K326" s="29"/>
    </row>
    <row r="327">
      <c r="J327" s="29"/>
      <c r="K327" s="29"/>
    </row>
    <row r="328">
      <c r="J328" s="29"/>
      <c r="K328" s="29"/>
    </row>
    <row r="329">
      <c r="J329" s="29"/>
      <c r="K329" s="29"/>
    </row>
    <row r="330">
      <c r="J330" s="29"/>
      <c r="K330" s="29"/>
    </row>
    <row r="331">
      <c r="J331" s="29"/>
      <c r="K331" s="29"/>
    </row>
    <row r="332">
      <c r="J332" s="29"/>
      <c r="K332" s="29"/>
    </row>
    <row r="333">
      <c r="J333" s="29"/>
      <c r="K333" s="29"/>
    </row>
    <row r="334">
      <c r="J334" s="29"/>
      <c r="K334" s="29"/>
    </row>
    <row r="335">
      <c r="J335" s="29"/>
      <c r="K335" s="29"/>
    </row>
    <row r="336">
      <c r="J336" s="29"/>
      <c r="K336" s="29"/>
    </row>
    <row r="337">
      <c r="J337" s="29"/>
      <c r="K337" s="29"/>
    </row>
    <row r="338">
      <c r="J338" s="29"/>
      <c r="K338" s="29"/>
    </row>
    <row r="339">
      <c r="J339" s="29"/>
      <c r="K339" s="29"/>
    </row>
    <row r="340">
      <c r="J340" s="29"/>
      <c r="K340" s="29"/>
    </row>
    <row r="341">
      <c r="J341" s="29"/>
      <c r="K341" s="29"/>
    </row>
    <row r="342">
      <c r="J342" s="29"/>
      <c r="K342" s="29"/>
    </row>
    <row r="343">
      <c r="J343" s="29"/>
      <c r="K343" s="29"/>
    </row>
    <row r="344">
      <c r="J344" s="29"/>
      <c r="K344" s="29"/>
    </row>
    <row r="345">
      <c r="J345" s="29"/>
      <c r="K345" s="29"/>
    </row>
    <row r="346">
      <c r="J346" s="29"/>
      <c r="K346" s="29"/>
    </row>
    <row r="347">
      <c r="J347" s="29"/>
      <c r="K347" s="29"/>
    </row>
    <row r="348">
      <c r="J348" s="29"/>
      <c r="K348" s="29"/>
    </row>
    <row r="349">
      <c r="J349" s="29"/>
      <c r="K349" s="29"/>
    </row>
    <row r="350">
      <c r="J350" s="29"/>
      <c r="K350" s="29"/>
    </row>
    <row r="351">
      <c r="J351" s="29"/>
      <c r="K351" s="29"/>
    </row>
    <row r="352">
      <c r="J352" s="29"/>
      <c r="K352" s="29"/>
    </row>
    <row r="353">
      <c r="J353" s="29"/>
      <c r="K353" s="29"/>
    </row>
    <row r="354">
      <c r="J354" s="29"/>
      <c r="K354" s="29"/>
    </row>
    <row r="355">
      <c r="J355" s="29"/>
      <c r="K355" s="29"/>
    </row>
    <row r="356">
      <c r="J356" s="29"/>
      <c r="K356" s="29"/>
    </row>
    <row r="357">
      <c r="J357" s="29"/>
      <c r="K357" s="29"/>
    </row>
    <row r="358">
      <c r="J358" s="29"/>
      <c r="K358" s="29"/>
    </row>
    <row r="359">
      <c r="J359" s="29"/>
      <c r="K359" s="29"/>
    </row>
    <row r="360">
      <c r="J360" s="29"/>
      <c r="K360" s="29"/>
    </row>
    <row r="361">
      <c r="J361" s="29"/>
      <c r="K361" s="29"/>
    </row>
    <row r="362">
      <c r="J362" s="29"/>
      <c r="K362" s="29"/>
    </row>
    <row r="363">
      <c r="J363" s="29"/>
      <c r="K363" s="29"/>
    </row>
    <row r="364">
      <c r="J364" s="29"/>
      <c r="K364" s="29"/>
    </row>
    <row r="365">
      <c r="J365" s="29"/>
      <c r="K365" s="29"/>
    </row>
    <row r="366">
      <c r="J366" s="29"/>
      <c r="K366" s="29"/>
    </row>
    <row r="367">
      <c r="J367" s="29"/>
      <c r="K367" s="29"/>
    </row>
    <row r="368">
      <c r="J368" s="29"/>
      <c r="K368" s="29"/>
    </row>
    <row r="369">
      <c r="J369" s="29"/>
      <c r="K369" s="29"/>
    </row>
    <row r="370">
      <c r="J370" s="29"/>
      <c r="K370" s="29"/>
    </row>
    <row r="371">
      <c r="J371" s="29"/>
      <c r="K371" s="29"/>
    </row>
    <row r="372">
      <c r="J372" s="29"/>
      <c r="K372" s="29"/>
    </row>
    <row r="373">
      <c r="J373" s="29"/>
      <c r="K373" s="29"/>
    </row>
    <row r="374">
      <c r="J374" s="29"/>
      <c r="K374" s="29"/>
    </row>
    <row r="375">
      <c r="J375" s="29"/>
      <c r="K375" s="29"/>
    </row>
    <row r="376">
      <c r="J376" s="29"/>
      <c r="K376" s="29"/>
    </row>
    <row r="377">
      <c r="J377" s="29"/>
      <c r="K377" s="29"/>
    </row>
    <row r="378">
      <c r="J378" s="29"/>
      <c r="K378" s="29"/>
    </row>
    <row r="379">
      <c r="J379" s="29"/>
      <c r="K379" s="29"/>
    </row>
    <row r="380">
      <c r="J380" s="29"/>
      <c r="K380" s="29"/>
    </row>
    <row r="381">
      <c r="J381" s="29"/>
      <c r="K381" s="29"/>
    </row>
    <row r="382">
      <c r="J382" s="29"/>
      <c r="K382" s="29"/>
    </row>
    <row r="383">
      <c r="J383" s="29"/>
      <c r="K383" s="29"/>
    </row>
    <row r="384">
      <c r="J384" s="29"/>
      <c r="K384" s="29"/>
    </row>
    <row r="385">
      <c r="J385" s="29"/>
      <c r="K385" s="29"/>
    </row>
    <row r="386">
      <c r="J386" s="29"/>
      <c r="K386" s="29"/>
    </row>
    <row r="387">
      <c r="J387" s="29"/>
      <c r="K387" s="29"/>
    </row>
    <row r="388">
      <c r="J388" s="29"/>
      <c r="K388" s="29"/>
    </row>
    <row r="389">
      <c r="J389" s="29"/>
      <c r="K389" s="29"/>
    </row>
    <row r="390">
      <c r="J390" s="29"/>
      <c r="K390" s="29"/>
    </row>
    <row r="391">
      <c r="J391" s="29"/>
      <c r="K391" s="29"/>
    </row>
    <row r="392">
      <c r="J392" s="29"/>
      <c r="K392" s="29"/>
    </row>
    <row r="393">
      <c r="J393" s="29"/>
      <c r="K393" s="29"/>
    </row>
    <row r="394">
      <c r="J394" s="29"/>
      <c r="K394" s="29"/>
    </row>
    <row r="395">
      <c r="J395" s="29"/>
      <c r="K395" s="29"/>
    </row>
    <row r="396">
      <c r="J396" s="29"/>
      <c r="K396" s="29"/>
    </row>
    <row r="397">
      <c r="J397" s="29"/>
      <c r="K397" s="29"/>
    </row>
    <row r="398">
      <c r="J398" s="29"/>
      <c r="K398" s="29"/>
    </row>
    <row r="399">
      <c r="J399" s="29"/>
      <c r="K399" s="29"/>
    </row>
    <row r="400">
      <c r="J400" s="29"/>
      <c r="K400" s="29"/>
    </row>
    <row r="401">
      <c r="J401" s="29"/>
      <c r="K401" s="29"/>
    </row>
    <row r="402">
      <c r="J402" s="29"/>
      <c r="K402" s="29"/>
    </row>
    <row r="403">
      <c r="J403" s="29"/>
      <c r="K403" s="29"/>
    </row>
    <row r="404">
      <c r="J404" s="29"/>
      <c r="K404" s="29"/>
    </row>
    <row r="405">
      <c r="J405" s="29"/>
      <c r="K405" s="29"/>
    </row>
    <row r="406">
      <c r="J406" s="29"/>
      <c r="K406" s="29"/>
    </row>
    <row r="407">
      <c r="J407" s="29"/>
      <c r="K407" s="29"/>
    </row>
    <row r="408">
      <c r="J408" s="29"/>
      <c r="K408" s="29"/>
    </row>
    <row r="409">
      <c r="J409" s="29"/>
      <c r="K409" s="29"/>
    </row>
    <row r="410">
      <c r="J410" s="29"/>
      <c r="K410" s="29"/>
    </row>
    <row r="411">
      <c r="J411" s="29"/>
      <c r="K411" s="29"/>
    </row>
    <row r="412">
      <c r="J412" s="29"/>
      <c r="K412" s="29"/>
    </row>
    <row r="413">
      <c r="J413" s="29"/>
      <c r="K413" s="29"/>
    </row>
    <row r="414">
      <c r="J414" s="29"/>
      <c r="K414" s="29"/>
    </row>
    <row r="415">
      <c r="J415" s="29"/>
      <c r="K415" s="29"/>
    </row>
    <row r="416">
      <c r="J416" s="29"/>
      <c r="K416" s="29"/>
    </row>
    <row r="417">
      <c r="J417" s="29"/>
      <c r="K417" s="29"/>
    </row>
    <row r="418">
      <c r="J418" s="29"/>
      <c r="K418" s="29"/>
    </row>
    <row r="419">
      <c r="J419" s="29"/>
      <c r="K419" s="29"/>
    </row>
    <row r="420">
      <c r="J420" s="29"/>
      <c r="K420" s="29"/>
    </row>
    <row r="421">
      <c r="J421" s="29"/>
      <c r="K421" s="29"/>
    </row>
    <row r="422">
      <c r="J422" s="29"/>
      <c r="K422" s="29"/>
    </row>
    <row r="423">
      <c r="J423" s="29"/>
      <c r="K423" s="29"/>
    </row>
    <row r="424">
      <c r="J424" s="29"/>
      <c r="K424" s="29"/>
    </row>
    <row r="425">
      <c r="J425" s="29"/>
      <c r="K425" s="29"/>
    </row>
    <row r="426">
      <c r="J426" s="29"/>
      <c r="K426" s="29"/>
    </row>
    <row r="427">
      <c r="J427" s="29"/>
      <c r="K427" s="29"/>
    </row>
    <row r="428">
      <c r="J428" s="29"/>
      <c r="K428" s="29"/>
    </row>
    <row r="429">
      <c r="J429" s="29"/>
      <c r="K429" s="29"/>
    </row>
    <row r="430">
      <c r="J430" s="29"/>
      <c r="K430" s="29"/>
    </row>
    <row r="431">
      <c r="J431" s="29"/>
      <c r="K431" s="29"/>
    </row>
    <row r="432">
      <c r="J432" s="29"/>
      <c r="K432" s="29"/>
    </row>
    <row r="433">
      <c r="J433" s="29"/>
      <c r="K433" s="29"/>
    </row>
    <row r="434">
      <c r="J434" s="29"/>
      <c r="K434" s="29"/>
    </row>
    <row r="435">
      <c r="J435" s="29"/>
      <c r="K435" s="29"/>
    </row>
    <row r="436">
      <c r="J436" s="29"/>
      <c r="K436" s="29"/>
    </row>
    <row r="437">
      <c r="J437" s="29"/>
      <c r="K437" s="29"/>
    </row>
    <row r="438">
      <c r="J438" s="29"/>
      <c r="K438" s="29"/>
    </row>
    <row r="439">
      <c r="J439" s="29"/>
      <c r="K439" s="29"/>
    </row>
    <row r="440">
      <c r="J440" s="29"/>
      <c r="K440" s="29"/>
    </row>
    <row r="441">
      <c r="J441" s="29"/>
      <c r="K441" s="29"/>
    </row>
    <row r="442">
      <c r="J442" s="29"/>
      <c r="K442" s="29"/>
    </row>
    <row r="443">
      <c r="J443" s="29"/>
      <c r="K443" s="29"/>
    </row>
    <row r="444">
      <c r="J444" s="29"/>
      <c r="K444" s="29"/>
    </row>
    <row r="445">
      <c r="J445" s="29"/>
      <c r="K445" s="29"/>
    </row>
    <row r="446">
      <c r="J446" s="29"/>
      <c r="K446" s="29"/>
    </row>
    <row r="447">
      <c r="J447" s="29"/>
      <c r="K447" s="29"/>
    </row>
    <row r="448">
      <c r="J448" s="29"/>
      <c r="K448" s="29"/>
    </row>
    <row r="449">
      <c r="J449" s="29"/>
      <c r="K449" s="29"/>
    </row>
    <row r="450">
      <c r="J450" s="29"/>
      <c r="K450" s="29"/>
    </row>
    <row r="451">
      <c r="J451" s="29"/>
      <c r="K451" s="29"/>
    </row>
    <row r="452">
      <c r="J452" s="29"/>
      <c r="K452" s="29"/>
    </row>
    <row r="453">
      <c r="J453" s="29"/>
      <c r="K453" s="29"/>
    </row>
    <row r="454">
      <c r="J454" s="29"/>
      <c r="K454" s="29"/>
    </row>
    <row r="455">
      <c r="J455" s="29"/>
      <c r="K455" s="29"/>
    </row>
    <row r="456">
      <c r="J456" s="29"/>
      <c r="K456" s="29"/>
    </row>
    <row r="457">
      <c r="J457" s="29"/>
      <c r="K457" s="29"/>
    </row>
    <row r="458">
      <c r="J458" s="29"/>
      <c r="K458" s="29"/>
    </row>
    <row r="459">
      <c r="J459" s="29"/>
      <c r="K459" s="29"/>
    </row>
    <row r="460">
      <c r="J460" s="29"/>
      <c r="K460" s="29"/>
    </row>
    <row r="461">
      <c r="J461" s="29"/>
      <c r="K461" s="29"/>
    </row>
    <row r="462">
      <c r="J462" s="29"/>
      <c r="K462" s="29"/>
    </row>
    <row r="463">
      <c r="J463" s="29"/>
      <c r="K463" s="29"/>
    </row>
    <row r="464">
      <c r="J464" s="29"/>
      <c r="K464" s="29"/>
    </row>
    <row r="465">
      <c r="J465" s="29"/>
      <c r="K465" s="29"/>
    </row>
    <row r="466">
      <c r="J466" s="29"/>
      <c r="K466" s="29"/>
    </row>
    <row r="467">
      <c r="J467" s="29"/>
      <c r="K467" s="29"/>
    </row>
    <row r="468">
      <c r="J468" s="29"/>
      <c r="K468" s="29"/>
    </row>
    <row r="469">
      <c r="J469" s="29"/>
      <c r="K469" s="29"/>
    </row>
    <row r="470">
      <c r="J470" s="29"/>
      <c r="K470" s="29"/>
    </row>
    <row r="471">
      <c r="J471" s="29"/>
      <c r="K471" s="29"/>
    </row>
    <row r="472">
      <c r="J472" s="29"/>
      <c r="K472" s="29"/>
    </row>
    <row r="473">
      <c r="J473" s="29"/>
      <c r="K473" s="29"/>
    </row>
    <row r="474">
      <c r="J474" s="29"/>
      <c r="K474" s="29"/>
    </row>
    <row r="475">
      <c r="J475" s="29"/>
      <c r="K475" s="29"/>
    </row>
    <row r="476">
      <c r="J476" s="29"/>
      <c r="K476" s="29"/>
    </row>
    <row r="477">
      <c r="J477" s="29"/>
      <c r="K477" s="29"/>
    </row>
    <row r="478">
      <c r="J478" s="29"/>
      <c r="K478" s="29"/>
    </row>
    <row r="479">
      <c r="J479" s="29"/>
      <c r="K479" s="29"/>
    </row>
    <row r="480">
      <c r="J480" s="29"/>
      <c r="K480" s="29"/>
    </row>
    <row r="481">
      <c r="J481" s="29"/>
      <c r="K481" s="29"/>
    </row>
    <row r="482">
      <c r="J482" s="29"/>
      <c r="K482" s="29"/>
    </row>
    <row r="483">
      <c r="J483" s="29"/>
      <c r="K483" s="29"/>
    </row>
    <row r="484">
      <c r="J484" s="29"/>
      <c r="K484" s="29"/>
    </row>
    <row r="485">
      <c r="J485" s="29"/>
      <c r="K485" s="29"/>
    </row>
    <row r="486">
      <c r="J486" s="29"/>
      <c r="K486" s="29"/>
    </row>
    <row r="487">
      <c r="J487" s="29"/>
      <c r="K487" s="29"/>
    </row>
    <row r="488">
      <c r="J488" s="29"/>
      <c r="K488" s="29"/>
    </row>
    <row r="489">
      <c r="J489" s="29"/>
      <c r="K489" s="29"/>
    </row>
    <row r="490">
      <c r="J490" s="29"/>
      <c r="K490" s="29"/>
    </row>
    <row r="491">
      <c r="J491" s="29"/>
      <c r="K491" s="29"/>
    </row>
    <row r="492">
      <c r="J492" s="29"/>
      <c r="K492" s="29"/>
    </row>
    <row r="493">
      <c r="J493" s="29"/>
      <c r="K493" s="29"/>
    </row>
    <row r="494">
      <c r="J494" s="29"/>
      <c r="K494" s="29"/>
    </row>
    <row r="495">
      <c r="J495" s="29"/>
      <c r="K495" s="29"/>
    </row>
    <row r="496">
      <c r="J496" s="29"/>
      <c r="K496" s="29"/>
    </row>
    <row r="497">
      <c r="J497" s="29"/>
      <c r="K497" s="29"/>
    </row>
    <row r="498">
      <c r="J498" s="29"/>
      <c r="K498" s="29"/>
    </row>
    <row r="499">
      <c r="J499" s="29"/>
      <c r="K499" s="29"/>
    </row>
    <row r="500">
      <c r="J500" s="29"/>
      <c r="K500" s="29"/>
    </row>
    <row r="501">
      <c r="J501" s="29"/>
      <c r="K501" s="29"/>
    </row>
    <row r="502">
      <c r="J502" s="29"/>
      <c r="K502" s="29"/>
    </row>
    <row r="503">
      <c r="J503" s="29"/>
      <c r="K503" s="29"/>
    </row>
    <row r="504">
      <c r="J504" s="29"/>
      <c r="K504" s="29"/>
    </row>
    <row r="505">
      <c r="J505" s="29"/>
      <c r="K505" s="29"/>
    </row>
    <row r="506">
      <c r="J506" s="29"/>
      <c r="K506" s="29"/>
    </row>
    <row r="507">
      <c r="J507" s="29"/>
      <c r="K507" s="29"/>
    </row>
    <row r="508">
      <c r="J508" s="29"/>
      <c r="K508" s="29"/>
    </row>
    <row r="509">
      <c r="J509" s="29"/>
      <c r="K509" s="29"/>
    </row>
    <row r="510">
      <c r="J510" s="29"/>
      <c r="K510" s="29"/>
    </row>
    <row r="511">
      <c r="J511" s="29"/>
      <c r="K511" s="29"/>
    </row>
    <row r="512">
      <c r="J512" s="29"/>
      <c r="K512" s="29"/>
    </row>
    <row r="513">
      <c r="J513" s="29"/>
      <c r="K513" s="29"/>
    </row>
    <row r="514">
      <c r="J514" s="29"/>
      <c r="K514" s="29"/>
    </row>
    <row r="515">
      <c r="J515" s="29"/>
      <c r="K515" s="29"/>
    </row>
    <row r="516">
      <c r="J516" s="29"/>
      <c r="K516" s="29"/>
    </row>
    <row r="517">
      <c r="J517" s="29"/>
      <c r="K517" s="29"/>
    </row>
    <row r="518">
      <c r="J518" s="29"/>
      <c r="K518" s="29"/>
    </row>
    <row r="519">
      <c r="J519" s="29"/>
      <c r="K519" s="29"/>
    </row>
    <row r="520">
      <c r="J520" s="29"/>
      <c r="K520" s="29"/>
    </row>
    <row r="521">
      <c r="J521" s="29"/>
      <c r="K521" s="29"/>
    </row>
    <row r="522">
      <c r="J522" s="29"/>
      <c r="K522" s="29"/>
    </row>
    <row r="523">
      <c r="J523" s="29"/>
      <c r="K523" s="29"/>
    </row>
    <row r="524">
      <c r="J524" s="29"/>
      <c r="K524" s="29"/>
    </row>
    <row r="525">
      <c r="J525" s="29"/>
      <c r="K525" s="29"/>
    </row>
    <row r="526">
      <c r="J526" s="29"/>
      <c r="K526" s="29"/>
    </row>
    <row r="527">
      <c r="J527" s="29"/>
      <c r="K527" s="29"/>
    </row>
    <row r="528">
      <c r="J528" s="29"/>
      <c r="K528" s="29"/>
    </row>
    <row r="529">
      <c r="J529" s="29"/>
      <c r="K529" s="29"/>
    </row>
    <row r="530">
      <c r="J530" s="29"/>
      <c r="K530" s="29"/>
    </row>
    <row r="531">
      <c r="J531" s="29"/>
      <c r="K531" s="29"/>
    </row>
    <row r="532">
      <c r="J532" s="29"/>
      <c r="K532" s="29"/>
    </row>
    <row r="533">
      <c r="J533" s="29"/>
      <c r="K533" s="29"/>
    </row>
    <row r="534">
      <c r="J534" s="29"/>
      <c r="K534" s="29"/>
    </row>
    <row r="535">
      <c r="J535" s="29"/>
      <c r="K535" s="29"/>
    </row>
    <row r="536">
      <c r="J536" s="29"/>
      <c r="K536" s="29"/>
    </row>
    <row r="537">
      <c r="J537" s="29"/>
      <c r="K537" s="29"/>
    </row>
    <row r="538">
      <c r="J538" s="29"/>
      <c r="K538" s="29"/>
    </row>
    <row r="539">
      <c r="J539" s="29"/>
      <c r="K539" s="29"/>
    </row>
    <row r="540">
      <c r="J540" s="29"/>
      <c r="K540" s="29"/>
    </row>
    <row r="541">
      <c r="J541" s="29"/>
      <c r="K541" s="29"/>
    </row>
    <row r="542">
      <c r="J542" s="29"/>
      <c r="K542" s="29"/>
    </row>
    <row r="543">
      <c r="J543" s="29"/>
      <c r="K543" s="29"/>
    </row>
    <row r="544">
      <c r="J544" s="29"/>
      <c r="K544" s="29"/>
    </row>
    <row r="545">
      <c r="J545" s="29"/>
      <c r="K545" s="29"/>
    </row>
    <row r="546">
      <c r="J546" s="29"/>
      <c r="K546" s="29"/>
    </row>
    <row r="547">
      <c r="J547" s="29"/>
      <c r="K547" s="29"/>
    </row>
    <row r="548">
      <c r="J548" s="29"/>
      <c r="K548" s="29"/>
    </row>
    <row r="549">
      <c r="J549" s="29"/>
      <c r="K549" s="29"/>
    </row>
    <row r="550">
      <c r="J550" s="29"/>
      <c r="K550" s="29"/>
    </row>
    <row r="551">
      <c r="J551" s="29"/>
      <c r="K551" s="29"/>
    </row>
    <row r="552">
      <c r="J552" s="29"/>
      <c r="K552" s="29"/>
    </row>
    <row r="553">
      <c r="J553" s="29"/>
      <c r="K553" s="29"/>
    </row>
    <row r="554">
      <c r="J554" s="29"/>
      <c r="K554" s="29"/>
    </row>
    <row r="555">
      <c r="J555" s="29"/>
      <c r="K555" s="29"/>
    </row>
    <row r="556">
      <c r="J556" s="29"/>
      <c r="K556" s="29"/>
    </row>
    <row r="557">
      <c r="J557" s="29"/>
      <c r="K557" s="29"/>
    </row>
    <row r="558">
      <c r="J558" s="29"/>
      <c r="K558" s="29"/>
    </row>
    <row r="559">
      <c r="J559" s="29"/>
      <c r="K559" s="29"/>
    </row>
    <row r="560">
      <c r="J560" s="29"/>
      <c r="K560" s="29"/>
    </row>
    <row r="561">
      <c r="J561" s="29"/>
      <c r="K561" s="29"/>
    </row>
    <row r="562">
      <c r="J562" s="29"/>
      <c r="K562" s="29"/>
    </row>
    <row r="563">
      <c r="J563" s="29"/>
      <c r="K563" s="29"/>
    </row>
    <row r="564">
      <c r="J564" s="29"/>
      <c r="K564" s="29"/>
    </row>
    <row r="565">
      <c r="J565" s="29"/>
      <c r="K565" s="29"/>
    </row>
    <row r="566">
      <c r="J566" s="29"/>
      <c r="K566" s="29"/>
    </row>
    <row r="567">
      <c r="J567" s="29"/>
      <c r="K567" s="29"/>
    </row>
    <row r="568">
      <c r="J568" s="29"/>
      <c r="K568" s="29"/>
    </row>
    <row r="569">
      <c r="J569" s="29"/>
      <c r="K569" s="29"/>
    </row>
    <row r="570">
      <c r="J570" s="29"/>
      <c r="K570" s="29"/>
    </row>
    <row r="571">
      <c r="J571" s="29"/>
      <c r="K571" s="29"/>
    </row>
    <row r="572">
      <c r="J572" s="29"/>
      <c r="K572" s="29"/>
    </row>
    <row r="573">
      <c r="J573" s="29"/>
      <c r="K573" s="29"/>
    </row>
    <row r="574">
      <c r="J574" s="29"/>
      <c r="K574" s="29"/>
    </row>
    <row r="575">
      <c r="J575" s="29"/>
      <c r="K575" s="29"/>
    </row>
    <row r="576">
      <c r="J576" s="29"/>
      <c r="K576" s="29"/>
    </row>
    <row r="577">
      <c r="J577" s="29"/>
      <c r="K577" s="29"/>
    </row>
    <row r="578">
      <c r="J578" s="29"/>
      <c r="K578" s="29"/>
    </row>
    <row r="579">
      <c r="J579" s="29"/>
      <c r="K579" s="29"/>
    </row>
    <row r="580">
      <c r="J580" s="29"/>
      <c r="K580" s="29"/>
    </row>
    <row r="581">
      <c r="J581" s="29"/>
      <c r="K581" s="29"/>
    </row>
    <row r="582">
      <c r="J582" s="29"/>
      <c r="K582" s="29"/>
    </row>
    <row r="583">
      <c r="J583" s="29"/>
      <c r="K583" s="29"/>
    </row>
    <row r="584">
      <c r="J584" s="29"/>
      <c r="K584" s="29"/>
    </row>
    <row r="585">
      <c r="J585" s="29"/>
      <c r="K585" s="29"/>
    </row>
    <row r="586">
      <c r="J586" s="29"/>
      <c r="K586" s="29"/>
    </row>
    <row r="587">
      <c r="J587" s="29"/>
      <c r="K587" s="29"/>
    </row>
    <row r="588">
      <c r="J588" s="29"/>
      <c r="K588" s="29"/>
    </row>
    <row r="589">
      <c r="J589" s="29"/>
      <c r="K589" s="29"/>
    </row>
    <row r="590">
      <c r="J590" s="29"/>
      <c r="K590" s="29"/>
    </row>
    <row r="591">
      <c r="J591" s="29"/>
      <c r="K591" s="29"/>
    </row>
    <row r="592">
      <c r="J592" s="29"/>
      <c r="K592" s="29"/>
    </row>
    <row r="593">
      <c r="J593" s="29"/>
      <c r="K593" s="29"/>
    </row>
    <row r="594">
      <c r="J594" s="29"/>
      <c r="K594" s="29"/>
    </row>
    <row r="595">
      <c r="J595" s="29"/>
      <c r="K595" s="29"/>
    </row>
    <row r="596">
      <c r="J596" s="29"/>
      <c r="K596" s="29"/>
    </row>
    <row r="597">
      <c r="J597" s="29"/>
      <c r="K597" s="29"/>
    </row>
    <row r="598">
      <c r="J598" s="29"/>
      <c r="K598" s="29"/>
    </row>
    <row r="599">
      <c r="J599" s="29"/>
      <c r="K599" s="29"/>
    </row>
    <row r="600">
      <c r="J600" s="29"/>
      <c r="K600" s="29"/>
    </row>
    <row r="601">
      <c r="J601" s="29"/>
      <c r="K601" s="29"/>
    </row>
    <row r="602">
      <c r="J602" s="29"/>
      <c r="K602" s="29"/>
    </row>
    <row r="603">
      <c r="J603" s="29"/>
      <c r="K603" s="29"/>
    </row>
    <row r="604">
      <c r="J604" s="29"/>
      <c r="K604" s="29"/>
    </row>
    <row r="605">
      <c r="J605" s="29"/>
      <c r="K605" s="29"/>
    </row>
    <row r="606">
      <c r="J606" s="29"/>
      <c r="K606" s="29"/>
    </row>
    <row r="607">
      <c r="J607" s="29"/>
      <c r="K607" s="29"/>
    </row>
    <row r="608">
      <c r="J608" s="29"/>
      <c r="K608" s="29"/>
    </row>
    <row r="609">
      <c r="J609" s="29"/>
      <c r="K609" s="29"/>
    </row>
    <row r="610">
      <c r="J610" s="29"/>
      <c r="K610" s="29"/>
    </row>
    <row r="611">
      <c r="J611" s="29"/>
      <c r="K611" s="29"/>
    </row>
    <row r="612">
      <c r="J612" s="29"/>
      <c r="K612" s="29"/>
    </row>
    <row r="613">
      <c r="J613" s="29"/>
      <c r="K613" s="29"/>
    </row>
    <row r="614">
      <c r="J614" s="29"/>
      <c r="K614" s="29"/>
    </row>
    <row r="615">
      <c r="J615" s="29"/>
      <c r="K615" s="29"/>
    </row>
    <row r="616">
      <c r="J616" s="29"/>
      <c r="K616" s="29"/>
    </row>
    <row r="617">
      <c r="J617" s="29"/>
      <c r="K617" s="29"/>
    </row>
    <row r="618">
      <c r="J618" s="29"/>
      <c r="K618" s="29"/>
    </row>
    <row r="619">
      <c r="J619" s="29"/>
      <c r="K619" s="29"/>
    </row>
    <row r="620">
      <c r="J620" s="29"/>
      <c r="K620" s="29"/>
    </row>
    <row r="621">
      <c r="J621" s="29"/>
      <c r="K621" s="29"/>
    </row>
    <row r="622">
      <c r="J622" s="29"/>
      <c r="K622" s="29"/>
    </row>
    <row r="623">
      <c r="J623" s="29"/>
      <c r="K623" s="29"/>
    </row>
    <row r="624">
      <c r="J624" s="29"/>
      <c r="K624" s="29"/>
    </row>
    <row r="625">
      <c r="J625" s="29"/>
      <c r="K625" s="29"/>
    </row>
    <row r="626">
      <c r="J626" s="29"/>
      <c r="K626" s="29"/>
    </row>
    <row r="627">
      <c r="J627" s="29"/>
      <c r="K627" s="29"/>
    </row>
    <row r="628">
      <c r="J628" s="29"/>
      <c r="K628" s="29"/>
    </row>
    <row r="629">
      <c r="J629" s="29"/>
      <c r="K629" s="29"/>
    </row>
    <row r="630">
      <c r="J630" s="29"/>
      <c r="K630" s="29"/>
    </row>
    <row r="631">
      <c r="J631" s="29"/>
      <c r="K631" s="29"/>
    </row>
    <row r="632">
      <c r="J632" s="29"/>
      <c r="K632" s="29"/>
    </row>
    <row r="633">
      <c r="J633" s="29"/>
      <c r="K633" s="29"/>
    </row>
    <row r="634">
      <c r="J634" s="29"/>
      <c r="K634" s="29"/>
    </row>
    <row r="635">
      <c r="J635" s="29"/>
      <c r="K635" s="29"/>
    </row>
    <row r="636">
      <c r="J636" s="29"/>
      <c r="K636" s="29"/>
    </row>
    <row r="637">
      <c r="J637" s="29"/>
      <c r="K637" s="29"/>
    </row>
    <row r="638">
      <c r="J638" s="29"/>
      <c r="K638" s="29"/>
    </row>
    <row r="639">
      <c r="J639" s="29"/>
      <c r="K639" s="29"/>
    </row>
    <row r="640">
      <c r="J640" s="29"/>
      <c r="K640" s="29"/>
    </row>
    <row r="641">
      <c r="J641" s="29"/>
      <c r="K641" s="29"/>
    </row>
    <row r="642">
      <c r="J642" s="29"/>
      <c r="K642" s="29"/>
    </row>
    <row r="643">
      <c r="J643" s="29"/>
      <c r="K643" s="29"/>
    </row>
    <row r="644">
      <c r="J644" s="29"/>
      <c r="K644" s="29"/>
    </row>
    <row r="645">
      <c r="J645" s="29"/>
      <c r="K645" s="29"/>
    </row>
    <row r="646">
      <c r="J646" s="29"/>
      <c r="K646" s="29"/>
    </row>
    <row r="647">
      <c r="J647" s="29"/>
      <c r="K647" s="29"/>
    </row>
    <row r="648">
      <c r="J648" s="29"/>
      <c r="K648" s="29"/>
    </row>
    <row r="649">
      <c r="J649" s="29"/>
      <c r="K649" s="29"/>
    </row>
    <row r="650">
      <c r="J650" s="29"/>
      <c r="K650" s="29"/>
    </row>
    <row r="651">
      <c r="J651" s="29"/>
      <c r="K651" s="29"/>
    </row>
    <row r="652">
      <c r="J652" s="29"/>
      <c r="K652" s="29"/>
    </row>
    <row r="653">
      <c r="J653" s="29"/>
      <c r="K653" s="29"/>
    </row>
    <row r="654">
      <c r="J654" s="29"/>
      <c r="K654" s="29"/>
    </row>
    <row r="655">
      <c r="J655" s="29"/>
      <c r="K655" s="29"/>
    </row>
    <row r="656">
      <c r="J656" s="29"/>
      <c r="K656" s="29"/>
    </row>
    <row r="657">
      <c r="J657" s="29"/>
      <c r="K657" s="29"/>
    </row>
    <row r="658">
      <c r="J658" s="29"/>
      <c r="K658" s="29"/>
    </row>
    <row r="659">
      <c r="J659" s="29"/>
      <c r="K659" s="29"/>
    </row>
    <row r="660">
      <c r="J660" s="29"/>
      <c r="K660" s="29"/>
    </row>
    <row r="661">
      <c r="J661" s="29"/>
      <c r="K661" s="29"/>
    </row>
    <row r="662">
      <c r="J662" s="29"/>
      <c r="K662" s="29"/>
    </row>
    <row r="663">
      <c r="J663" s="29"/>
      <c r="K663" s="29"/>
    </row>
    <row r="664">
      <c r="J664" s="29"/>
      <c r="K664" s="29"/>
    </row>
    <row r="665">
      <c r="J665" s="29"/>
      <c r="K665" s="29"/>
    </row>
    <row r="666">
      <c r="J666" s="29"/>
      <c r="K666" s="29"/>
    </row>
    <row r="667">
      <c r="J667" s="29"/>
      <c r="K667" s="29"/>
    </row>
    <row r="668">
      <c r="J668" s="29"/>
      <c r="K668" s="29"/>
    </row>
    <row r="669">
      <c r="J669" s="29"/>
      <c r="K669" s="29"/>
    </row>
    <row r="670">
      <c r="J670" s="29"/>
      <c r="K670" s="29"/>
    </row>
    <row r="671">
      <c r="J671" s="29"/>
      <c r="K671" s="29"/>
    </row>
    <row r="672">
      <c r="J672" s="29"/>
      <c r="K672" s="29"/>
    </row>
    <row r="673">
      <c r="J673" s="29"/>
      <c r="K673" s="29"/>
    </row>
    <row r="674">
      <c r="J674" s="29"/>
      <c r="K674" s="29"/>
    </row>
    <row r="675">
      <c r="J675" s="29"/>
      <c r="K675" s="29"/>
    </row>
    <row r="676">
      <c r="J676" s="29"/>
      <c r="K676" s="29"/>
    </row>
    <row r="677">
      <c r="J677" s="29"/>
      <c r="K677" s="29"/>
    </row>
    <row r="678">
      <c r="J678" s="29"/>
      <c r="K678" s="29"/>
    </row>
    <row r="679">
      <c r="J679" s="29"/>
      <c r="K679" s="29"/>
    </row>
    <row r="680">
      <c r="J680" s="29"/>
      <c r="K680" s="29"/>
    </row>
    <row r="681">
      <c r="J681" s="29"/>
      <c r="K681" s="29"/>
    </row>
    <row r="682">
      <c r="J682" s="29"/>
      <c r="K682" s="29"/>
    </row>
    <row r="683">
      <c r="J683" s="29"/>
      <c r="K683" s="29"/>
    </row>
    <row r="684">
      <c r="J684" s="29"/>
      <c r="K684" s="29"/>
    </row>
    <row r="685">
      <c r="J685" s="29"/>
      <c r="K685" s="29"/>
    </row>
    <row r="686">
      <c r="J686" s="29"/>
      <c r="K686" s="29"/>
    </row>
    <row r="687">
      <c r="J687" s="29"/>
      <c r="K687" s="29"/>
    </row>
    <row r="688">
      <c r="J688" s="29"/>
      <c r="K688" s="29"/>
    </row>
    <row r="689">
      <c r="J689" s="29"/>
      <c r="K689" s="29"/>
    </row>
    <row r="690">
      <c r="J690" s="29"/>
      <c r="K690" s="29"/>
    </row>
    <row r="691">
      <c r="J691" s="29"/>
      <c r="K691" s="29"/>
    </row>
    <row r="692">
      <c r="J692" s="29"/>
      <c r="K692" s="29"/>
    </row>
    <row r="693">
      <c r="J693" s="29"/>
      <c r="K693" s="29"/>
    </row>
    <row r="694">
      <c r="J694" s="29"/>
      <c r="K694" s="29"/>
    </row>
    <row r="695">
      <c r="J695" s="29"/>
      <c r="K695" s="29"/>
    </row>
    <row r="696">
      <c r="J696" s="29"/>
      <c r="K696" s="29"/>
    </row>
    <row r="697">
      <c r="J697" s="29"/>
      <c r="K697" s="29"/>
    </row>
    <row r="698">
      <c r="J698" s="29"/>
      <c r="K698" s="29"/>
    </row>
    <row r="699">
      <c r="J699" s="29"/>
      <c r="K699" s="29"/>
    </row>
    <row r="700">
      <c r="J700" s="29"/>
      <c r="K700" s="29"/>
    </row>
    <row r="701">
      <c r="J701" s="29"/>
      <c r="K701" s="29"/>
    </row>
    <row r="702">
      <c r="J702" s="29"/>
      <c r="K702" s="29"/>
    </row>
    <row r="703">
      <c r="J703" s="29"/>
      <c r="K703" s="29"/>
    </row>
    <row r="704">
      <c r="J704" s="29"/>
      <c r="K704" s="29"/>
    </row>
    <row r="705">
      <c r="J705" s="29"/>
      <c r="K705" s="29"/>
    </row>
    <row r="706">
      <c r="J706" s="29"/>
      <c r="K706" s="29"/>
    </row>
    <row r="707">
      <c r="J707" s="29"/>
      <c r="K707" s="29"/>
    </row>
    <row r="708">
      <c r="J708" s="29"/>
      <c r="K708" s="29"/>
    </row>
    <row r="709">
      <c r="J709" s="29"/>
      <c r="K709" s="29"/>
    </row>
    <row r="710">
      <c r="J710" s="29"/>
      <c r="K710" s="29"/>
    </row>
    <row r="711">
      <c r="J711" s="29"/>
      <c r="K711" s="29"/>
    </row>
    <row r="712">
      <c r="J712" s="29"/>
      <c r="K712" s="29"/>
    </row>
    <row r="713">
      <c r="J713" s="29"/>
      <c r="K713" s="29"/>
    </row>
    <row r="714">
      <c r="J714" s="29"/>
      <c r="K714" s="29"/>
    </row>
    <row r="715">
      <c r="J715" s="29"/>
      <c r="K715" s="29"/>
    </row>
    <row r="716">
      <c r="J716" s="29"/>
      <c r="K716" s="29"/>
    </row>
    <row r="717">
      <c r="J717" s="29"/>
      <c r="K717" s="29"/>
    </row>
    <row r="718">
      <c r="J718" s="29"/>
      <c r="K718" s="29"/>
    </row>
    <row r="719">
      <c r="J719" s="29"/>
      <c r="K719" s="29"/>
    </row>
    <row r="720">
      <c r="J720" s="29"/>
      <c r="K720" s="29"/>
    </row>
    <row r="721">
      <c r="J721" s="29"/>
      <c r="K721" s="29"/>
    </row>
    <row r="722">
      <c r="J722" s="29"/>
      <c r="K722" s="29"/>
    </row>
    <row r="723">
      <c r="J723" s="29"/>
      <c r="K723" s="29"/>
    </row>
    <row r="724">
      <c r="J724" s="29"/>
      <c r="K724" s="29"/>
    </row>
    <row r="725">
      <c r="J725" s="29"/>
      <c r="K725" s="29"/>
    </row>
    <row r="726">
      <c r="J726" s="29"/>
      <c r="K726" s="29"/>
    </row>
    <row r="727">
      <c r="J727" s="29"/>
      <c r="K727" s="29"/>
    </row>
    <row r="728">
      <c r="J728" s="29"/>
      <c r="K728" s="29"/>
    </row>
    <row r="729">
      <c r="J729" s="29"/>
      <c r="K729" s="29"/>
    </row>
    <row r="730">
      <c r="J730" s="29"/>
      <c r="K730" s="29"/>
    </row>
    <row r="731">
      <c r="J731" s="29"/>
      <c r="K731" s="29"/>
    </row>
    <row r="732">
      <c r="J732" s="29"/>
      <c r="K732" s="29"/>
    </row>
    <row r="733">
      <c r="J733" s="29"/>
      <c r="K733" s="29"/>
    </row>
    <row r="734">
      <c r="J734" s="29"/>
      <c r="K734" s="29"/>
    </row>
    <row r="735">
      <c r="J735" s="29"/>
      <c r="K735" s="29"/>
    </row>
    <row r="736">
      <c r="J736" s="29"/>
      <c r="K736" s="29"/>
    </row>
    <row r="737">
      <c r="J737" s="29"/>
      <c r="K737" s="29"/>
    </row>
    <row r="738">
      <c r="J738" s="29"/>
      <c r="K738" s="29"/>
    </row>
    <row r="739">
      <c r="J739" s="29"/>
      <c r="K739" s="29"/>
    </row>
    <row r="740">
      <c r="J740" s="29"/>
      <c r="K740" s="29"/>
    </row>
    <row r="741">
      <c r="J741" s="29"/>
      <c r="K741" s="29"/>
    </row>
    <row r="742">
      <c r="J742" s="29"/>
      <c r="K742" s="29"/>
    </row>
    <row r="743">
      <c r="J743" s="29"/>
      <c r="K743" s="29"/>
    </row>
    <row r="744">
      <c r="J744" s="29"/>
      <c r="K744" s="29"/>
    </row>
    <row r="745">
      <c r="J745" s="29"/>
      <c r="K745" s="29"/>
    </row>
    <row r="746">
      <c r="J746" s="29"/>
      <c r="K746" s="29"/>
    </row>
    <row r="747">
      <c r="J747" s="29"/>
      <c r="K747" s="29"/>
    </row>
    <row r="748">
      <c r="J748" s="29"/>
      <c r="K748" s="29"/>
    </row>
    <row r="749">
      <c r="J749" s="29"/>
      <c r="K749" s="29"/>
    </row>
    <row r="750">
      <c r="J750" s="29"/>
      <c r="K750" s="29"/>
    </row>
    <row r="751">
      <c r="J751" s="29"/>
      <c r="K751" s="29"/>
    </row>
    <row r="752">
      <c r="J752" s="29"/>
      <c r="K752" s="29"/>
    </row>
    <row r="753">
      <c r="J753" s="29"/>
      <c r="K753" s="29"/>
    </row>
    <row r="754">
      <c r="J754" s="29"/>
      <c r="K754" s="29"/>
    </row>
    <row r="755">
      <c r="J755" s="29"/>
      <c r="K755" s="29"/>
    </row>
    <row r="756">
      <c r="J756" s="29"/>
      <c r="K756" s="29"/>
    </row>
    <row r="757">
      <c r="J757" s="29"/>
      <c r="K757" s="29"/>
    </row>
    <row r="758">
      <c r="J758" s="29"/>
      <c r="K758" s="29"/>
    </row>
    <row r="759">
      <c r="J759" s="29"/>
      <c r="K759" s="29"/>
    </row>
    <row r="760">
      <c r="J760" s="29"/>
      <c r="K760" s="29"/>
    </row>
    <row r="761">
      <c r="J761" s="29"/>
      <c r="K761" s="29"/>
    </row>
    <row r="762">
      <c r="J762" s="29"/>
      <c r="K762" s="29"/>
    </row>
    <row r="763">
      <c r="J763" s="29"/>
      <c r="K763" s="29"/>
    </row>
    <row r="764">
      <c r="J764" s="29"/>
      <c r="K764" s="29"/>
    </row>
    <row r="765">
      <c r="J765" s="29"/>
      <c r="K765" s="29"/>
    </row>
    <row r="766">
      <c r="J766" s="29"/>
      <c r="K766" s="29"/>
    </row>
    <row r="767">
      <c r="J767" s="29"/>
      <c r="K767" s="29"/>
    </row>
    <row r="768">
      <c r="J768" s="29"/>
      <c r="K768" s="29"/>
    </row>
    <row r="769">
      <c r="J769" s="29"/>
      <c r="K769" s="29"/>
    </row>
    <row r="770">
      <c r="J770" s="29"/>
      <c r="K770" s="29"/>
    </row>
    <row r="771">
      <c r="J771" s="29"/>
      <c r="K771" s="29"/>
    </row>
    <row r="772">
      <c r="J772" s="29"/>
      <c r="K772" s="29"/>
    </row>
    <row r="773">
      <c r="J773" s="29"/>
      <c r="K773" s="29"/>
    </row>
    <row r="774">
      <c r="J774" s="29"/>
      <c r="K774" s="29"/>
    </row>
    <row r="775">
      <c r="J775" s="29"/>
      <c r="K775" s="29"/>
    </row>
    <row r="776">
      <c r="J776" s="29"/>
      <c r="K776" s="29"/>
    </row>
    <row r="777">
      <c r="J777" s="29"/>
      <c r="K777" s="29"/>
    </row>
    <row r="778">
      <c r="J778" s="29"/>
      <c r="K778" s="29"/>
    </row>
    <row r="779">
      <c r="J779" s="29"/>
      <c r="K779" s="29"/>
    </row>
    <row r="780">
      <c r="J780" s="29"/>
      <c r="K780" s="29"/>
    </row>
    <row r="781">
      <c r="J781" s="29"/>
      <c r="K781" s="29"/>
    </row>
    <row r="782">
      <c r="J782" s="29"/>
      <c r="K782" s="29"/>
    </row>
    <row r="783">
      <c r="J783" s="29"/>
      <c r="K783" s="29"/>
    </row>
    <row r="784">
      <c r="J784" s="29"/>
      <c r="K784" s="29"/>
    </row>
    <row r="785">
      <c r="J785" s="29"/>
      <c r="K785" s="29"/>
    </row>
    <row r="786">
      <c r="J786" s="29"/>
      <c r="K786" s="29"/>
    </row>
    <row r="787">
      <c r="J787" s="29"/>
      <c r="K787" s="29"/>
    </row>
    <row r="788">
      <c r="J788" s="29"/>
      <c r="K788" s="29"/>
    </row>
    <row r="789">
      <c r="J789" s="29"/>
      <c r="K789" s="29"/>
    </row>
    <row r="790">
      <c r="J790" s="29"/>
      <c r="K790" s="29"/>
    </row>
    <row r="791">
      <c r="J791" s="29"/>
      <c r="K791" s="29"/>
    </row>
    <row r="792">
      <c r="J792" s="29"/>
      <c r="K792" s="29"/>
    </row>
    <row r="793">
      <c r="J793" s="29"/>
      <c r="K793" s="29"/>
    </row>
    <row r="794">
      <c r="J794" s="29"/>
      <c r="K794" s="29"/>
    </row>
    <row r="795">
      <c r="J795" s="29"/>
      <c r="K795" s="29"/>
    </row>
    <row r="796">
      <c r="J796" s="29"/>
      <c r="K796" s="29"/>
    </row>
    <row r="797">
      <c r="J797" s="29"/>
      <c r="K797" s="29"/>
    </row>
    <row r="798">
      <c r="J798" s="29"/>
      <c r="K798" s="29"/>
    </row>
    <row r="799">
      <c r="J799" s="29"/>
      <c r="K799" s="29"/>
    </row>
    <row r="800">
      <c r="J800" s="29"/>
      <c r="K800" s="29"/>
    </row>
    <row r="801">
      <c r="J801" s="29"/>
      <c r="K801" s="29"/>
    </row>
    <row r="802">
      <c r="J802" s="29"/>
      <c r="K802" s="29"/>
    </row>
    <row r="803">
      <c r="J803" s="29"/>
      <c r="K803" s="29"/>
    </row>
    <row r="804">
      <c r="J804" s="29"/>
      <c r="K804" s="29"/>
    </row>
    <row r="805">
      <c r="J805" s="29"/>
      <c r="K805" s="29"/>
    </row>
    <row r="806">
      <c r="J806" s="29"/>
      <c r="K806" s="29"/>
    </row>
    <row r="807">
      <c r="J807" s="29"/>
      <c r="K807" s="29"/>
    </row>
    <row r="808">
      <c r="J808" s="29"/>
      <c r="K808" s="29"/>
    </row>
    <row r="809">
      <c r="J809" s="29"/>
      <c r="K809" s="29"/>
    </row>
    <row r="810">
      <c r="J810" s="29"/>
      <c r="K810" s="29"/>
    </row>
    <row r="811">
      <c r="J811" s="29"/>
      <c r="K811" s="29"/>
    </row>
    <row r="812">
      <c r="J812" s="29"/>
      <c r="K812" s="29"/>
    </row>
    <row r="813">
      <c r="J813" s="29"/>
      <c r="K813" s="29"/>
    </row>
    <row r="814">
      <c r="J814" s="29"/>
      <c r="K814" s="29"/>
    </row>
    <row r="815">
      <c r="J815" s="29"/>
      <c r="K815" s="29"/>
    </row>
    <row r="816">
      <c r="J816" s="29"/>
      <c r="K816" s="29"/>
    </row>
    <row r="817">
      <c r="J817" s="29"/>
      <c r="K817" s="29"/>
    </row>
    <row r="818">
      <c r="J818" s="29"/>
      <c r="K818" s="29"/>
    </row>
    <row r="819">
      <c r="J819" s="29"/>
      <c r="K819" s="29"/>
    </row>
    <row r="820">
      <c r="J820" s="29"/>
      <c r="K820" s="29"/>
    </row>
    <row r="821">
      <c r="J821" s="29"/>
      <c r="K821" s="29"/>
    </row>
    <row r="822">
      <c r="J822" s="29"/>
      <c r="K822" s="29"/>
    </row>
    <row r="823">
      <c r="J823" s="29"/>
      <c r="K823" s="29"/>
    </row>
    <row r="824">
      <c r="J824" s="29"/>
      <c r="K824" s="29"/>
    </row>
    <row r="825">
      <c r="J825" s="29"/>
      <c r="K825" s="29"/>
    </row>
    <row r="826">
      <c r="J826" s="29"/>
      <c r="K826" s="29"/>
    </row>
    <row r="827">
      <c r="J827" s="29"/>
      <c r="K827" s="29"/>
    </row>
    <row r="828">
      <c r="J828" s="29"/>
      <c r="K828" s="29"/>
    </row>
    <row r="829">
      <c r="J829" s="29"/>
      <c r="K829" s="29"/>
    </row>
    <row r="830">
      <c r="J830" s="29"/>
      <c r="K830" s="29"/>
    </row>
    <row r="831">
      <c r="J831" s="29"/>
      <c r="K831" s="29"/>
    </row>
    <row r="832">
      <c r="J832" s="29"/>
      <c r="K832" s="29"/>
    </row>
    <row r="833">
      <c r="J833" s="29"/>
      <c r="K833" s="29"/>
    </row>
    <row r="834">
      <c r="J834" s="29"/>
      <c r="K834" s="29"/>
    </row>
    <row r="835">
      <c r="J835" s="29"/>
      <c r="K835" s="29"/>
    </row>
    <row r="836">
      <c r="J836" s="29"/>
      <c r="K836" s="29"/>
    </row>
    <row r="837">
      <c r="J837" s="29"/>
      <c r="K837" s="29"/>
    </row>
    <row r="838">
      <c r="J838" s="29"/>
      <c r="K838" s="29"/>
    </row>
    <row r="839">
      <c r="J839" s="29"/>
      <c r="K839" s="29"/>
    </row>
    <row r="840">
      <c r="J840" s="29"/>
      <c r="K840" s="29"/>
    </row>
    <row r="841">
      <c r="J841" s="29"/>
      <c r="K841" s="29"/>
    </row>
    <row r="842">
      <c r="J842" s="29"/>
      <c r="K842" s="29"/>
    </row>
    <row r="843">
      <c r="J843" s="29"/>
      <c r="K843" s="29"/>
    </row>
    <row r="844">
      <c r="J844" s="29"/>
      <c r="K844" s="29"/>
    </row>
    <row r="845">
      <c r="J845" s="29"/>
      <c r="K845" s="29"/>
    </row>
    <row r="846">
      <c r="J846" s="29"/>
      <c r="K846" s="29"/>
    </row>
    <row r="847">
      <c r="J847" s="29"/>
      <c r="K847" s="29"/>
    </row>
    <row r="848">
      <c r="J848" s="29"/>
      <c r="K848" s="29"/>
    </row>
    <row r="849">
      <c r="J849" s="29"/>
      <c r="K849" s="29"/>
    </row>
    <row r="850">
      <c r="J850" s="29"/>
      <c r="K850" s="29"/>
    </row>
    <row r="851">
      <c r="J851" s="29"/>
      <c r="K851" s="29"/>
    </row>
    <row r="852">
      <c r="J852" s="29"/>
      <c r="K852" s="29"/>
    </row>
    <row r="853">
      <c r="J853" s="29"/>
      <c r="K853" s="29"/>
    </row>
    <row r="854">
      <c r="J854" s="29"/>
      <c r="K854" s="29"/>
    </row>
    <row r="855">
      <c r="J855" s="29"/>
      <c r="K855" s="29"/>
    </row>
    <row r="856">
      <c r="J856" s="29"/>
      <c r="K856" s="29"/>
    </row>
    <row r="857">
      <c r="J857" s="29"/>
      <c r="K857" s="29"/>
    </row>
    <row r="858">
      <c r="J858" s="29"/>
      <c r="K858" s="29"/>
    </row>
    <row r="859">
      <c r="J859" s="29"/>
      <c r="K859" s="29"/>
    </row>
    <row r="860">
      <c r="J860" s="29"/>
      <c r="K860" s="29"/>
    </row>
    <row r="861">
      <c r="J861" s="29"/>
      <c r="K861" s="29"/>
    </row>
    <row r="862">
      <c r="J862" s="29"/>
      <c r="K862" s="29"/>
    </row>
    <row r="863">
      <c r="J863" s="29"/>
      <c r="K863" s="29"/>
    </row>
    <row r="864">
      <c r="J864" s="29"/>
      <c r="K864" s="29"/>
    </row>
    <row r="865">
      <c r="J865" s="29"/>
      <c r="K865" s="29"/>
    </row>
    <row r="866">
      <c r="J866" s="29"/>
      <c r="K866" s="29"/>
    </row>
    <row r="867">
      <c r="J867" s="29"/>
      <c r="K867" s="29"/>
    </row>
    <row r="868">
      <c r="J868" s="29"/>
      <c r="K868" s="29"/>
    </row>
    <row r="869">
      <c r="J869" s="29"/>
      <c r="K869" s="29"/>
    </row>
    <row r="870">
      <c r="J870" s="29"/>
      <c r="K870" s="29"/>
    </row>
    <row r="871">
      <c r="J871" s="29"/>
      <c r="K871" s="29"/>
    </row>
    <row r="872">
      <c r="J872" s="29"/>
      <c r="K872" s="29"/>
    </row>
    <row r="873">
      <c r="J873" s="29"/>
      <c r="K873" s="29"/>
    </row>
    <row r="874">
      <c r="J874" s="29"/>
      <c r="K874" s="29"/>
    </row>
    <row r="875">
      <c r="J875" s="29"/>
      <c r="K875" s="29"/>
    </row>
    <row r="876">
      <c r="J876" s="29"/>
      <c r="K876" s="29"/>
    </row>
    <row r="877">
      <c r="J877" s="29"/>
      <c r="K877" s="29"/>
    </row>
    <row r="878">
      <c r="J878" s="29"/>
      <c r="K878" s="29"/>
    </row>
    <row r="879">
      <c r="J879" s="29"/>
      <c r="K879" s="29"/>
    </row>
    <row r="880">
      <c r="J880" s="29"/>
      <c r="K880" s="29"/>
    </row>
    <row r="881">
      <c r="J881" s="29"/>
      <c r="K881" s="29"/>
    </row>
    <row r="882">
      <c r="J882" s="29"/>
      <c r="K882" s="29"/>
    </row>
    <row r="883">
      <c r="J883" s="29"/>
      <c r="K883" s="29"/>
    </row>
    <row r="884">
      <c r="J884" s="29"/>
      <c r="K884" s="29"/>
    </row>
    <row r="885">
      <c r="J885" s="29"/>
      <c r="K885" s="29"/>
    </row>
    <row r="886">
      <c r="J886" s="29"/>
      <c r="K886" s="29"/>
    </row>
    <row r="887">
      <c r="J887" s="29"/>
      <c r="K887" s="29"/>
    </row>
    <row r="888">
      <c r="J888" s="29"/>
      <c r="K888" s="29"/>
    </row>
    <row r="889">
      <c r="J889" s="29"/>
      <c r="K889" s="29"/>
    </row>
    <row r="890">
      <c r="J890" s="29"/>
      <c r="K890" s="29"/>
    </row>
    <row r="891">
      <c r="J891" s="29"/>
      <c r="K891" s="29"/>
    </row>
    <row r="892">
      <c r="J892" s="29"/>
      <c r="K892" s="29"/>
    </row>
    <row r="893">
      <c r="J893" s="29"/>
      <c r="K893" s="29"/>
    </row>
    <row r="894">
      <c r="J894" s="29"/>
      <c r="K894" s="29"/>
    </row>
    <row r="895">
      <c r="J895" s="29"/>
      <c r="K895" s="29"/>
    </row>
    <row r="896">
      <c r="J896" s="29"/>
      <c r="K896" s="29"/>
    </row>
    <row r="897">
      <c r="J897" s="29"/>
      <c r="K897" s="29"/>
    </row>
    <row r="898">
      <c r="J898" s="29"/>
      <c r="K898" s="29"/>
    </row>
    <row r="899">
      <c r="J899" s="29"/>
      <c r="K899" s="29"/>
    </row>
    <row r="900">
      <c r="J900" s="29"/>
      <c r="K900" s="29"/>
    </row>
    <row r="901">
      <c r="J901" s="29"/>
      <c r="K901" s="29"/>
    </row>
    <row r="902">
      <c r="J902" s="29"/>
      <c r="K902" s="29"/>
    </row>
    <row r="903">
      <c r="J903" s="29"/>
      <c r="K903" s="29"/>
    </row>
    <row r="904">
      <c r="J904" s="29"/>
      <c r="K904" s="29"/>
    </row>
    <row r="905">
      <c r="J905" s="29"/>
      <c r="K905" s="29"/>
    </row>
    <row r="906">
      <c r="J906" s="29"/>
      <c r="K906" s="29"/>
    </row>
    <row r="907">
      <c r="J907" s="29"/>
      <c r="K907" s="29"/>
    </row>
    <row r="908">
      <c r="J908" s="29"/>
      <c r="K908" s="29"/>
    </row>
    <row r="909">
      <c r="J909" s="29"/>
      <c r="K909" s="29"/>
    </row>
    <row r="910">
      <c r="J910" s="29"/>
      <c r="K910" s="29"/>
    </row>
    <row r="911">
      <c r="J911" s="29"/>
      <c r="K911" s="29"/>
    </row>
    <row r="912">
      <c r="J912" s="29"/>
      <c r="K912" s="29"/>
    </row>
    <row r="913">
      <c r="J913" s="29"/>
      <c r="K913" s="29"/>
    </row>
    <row r="914">
      <c r="J914" s="29"/>
      <c r="K914" s="29"/>
    </row>
    <row r="915">
      <c r="J915" s="29"/>
      <c r="K915" s="29"/>
    </row>
    <row r="916">
      <c r="J916" s="29"/>
      <c r="K916" s="29"/>
    </row>
    <row r="917">
      <c r="J917" s="29"/>
      <c r="K917" s="29"/>
    </row>
    <row r="918">
      <c r="J918" s="29"/>
      <c r="K918" s="29"/>
    </row>
    <row r="919">
      <c r="J919" s="29"/>
      <c r="K919" s="29"/>
    </row>
    <row r="920">
      <c r="J920" s="29"/>
      <c r="K920" s="29"/>
    </row>
    <row r="921">
      <c r="J921" s="29"/>
      <c r="K921" s="29"/>
    </row>
    <row r="922">
      <c r="J922" s="29"/>
      <c r="K922" s="29"/>
    </row>
    <row r="923">
      <c r="J923" s="29"/>
      <c r="K923" s="29"/>
    </row>
    <row r="924">
      <c r="J924" s="29"/>
      <c r="K924" s="29"/>
    </row>
    <row r="925">
      <c r="J925" s="29"/>
      <c r="K925" s="29"/>
    </row>
    <row r="926">
      <c r="J926" s="29"/>
      <c r="K926" s="29"/>
    </row>
    <row r="927">
      <c r="J927" s="29"/>
      <c r="K927" s="29"/>
    </row>
    <row r="928">
      <c r="J928" s="29"/>
      <c r="K928" s="29"/>
    </row>
    <row r="929">
      <c r="J929" s="29"/>
      <c r="K929" s="29"/>
    </row>
    <row r="930">
      <c r="J930" s="29"/>
      <c r="K930" s="29"/>
    </row>
    <row r="931">
      <c r="J931" s="29"/>
      <c r="K931" s="29"/>
    </row>
    <row r="932">
      <c r="J932" s="29"/>
      <c r="K932" s="29"/>
    </row>
    <row r="933">
      <c r="J933" s="29"/>
      <c r="K933" s="29"/>
    </row>
    <row r="934">
      <c r="J934" s="29"/>
      <c r="K934" s="29"/>
    </row>
    <row r="935">
      <c r="J935" s="29"/>
      <c r="K935" s="29"/>
    </row>
    <row r="936">
      <c r="J936" s="29"/>
      <c r="K936" s="29"/>
    </row>
    <row r="937">
      <c r="J937" s="29"/>
      <c r="K937" s="29"/>
    </row>
    <row r="938">
      <c r="J938" s="29"/>
      <c r="K938" s="29"/>
    </row>
    <row r="939">
      <c r="J939" s="29"/>
      <c r="K939" s="29"/>
    </row>
    <row r="940">
      <c r="J940" s="29"/>
      <c r="K940" s="29"/>
    </row>
    <row r="941">
      <c r="J941" s="29"/>
      <c r="K941" s="29"/>
    </row>
    <row r="942">
      <c r="J942" s="29"/>
      <c r="K942" s="29"/>
    </row>
    <row r="943">
      <c r="J943" s="29"/>
      <c r="K943" s="29"/>
    </row>
    <row r="944">
      <c r="J944" s="29"/>
      <c r="K944" s="29"/>
    </row>
    <row r="945">
      <c r="J945" s="29"/>
      <c r="K945" s="29"/>
    </row>
    <row r="946">
      <c r="J946" s="29"/>
      <c r="K946" s="29"/>
    </row>
    <row r="947">
      <c r="J947" s="29"/>
      <c r="K947" s="29"/>
    </row>
    <row r="948">
      <c r="J948" s="29"/>
      <c r="K948" s="29"/>
    </row>
    <row r="949">
      <c r="J949" s="29"/>
      <c r="K949" s="29"/>
    </row>
    <row r="950">
      <c r="J950" s="29"/>
      <c r="K950" s="29"/>
    </row>
    <row r="951">
      <c r="J951" s="29"/>
      <c r="K951" s="29"/>
    </row>
    <row r="952">
      <c r="J952" s="29"/>
      <c r="K952" s="29"/>
    </row>
    <row r="953">
      <c r="J953" s="29"/>
      <c r="K953" s="29"/>
    </row>
    <row r="954">
      <c r="J954" s="29"/>
      <c r="K954" s="29"/>
    </row>
  </sheetData>
  <autoFilter ref="$A$1:$K$9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.88"/>
    <col customWidth="1" min="10" max="10" width="28.13"/>
    <col customWidth="1" min="11" max="11" width="26.5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1" t="s">
        <v>22</v>
      </c>
      <c r="H1" s="30" t="s">
        <v>7</v>
      </c>
      <c r="I1" s="30" t="s">
        <v>8</v>
      </c>
      <c r="J1" s="30" t="s">
        <v>10</v>
      </c>
      <c r="K1" s="30" t="s">
        <v>11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">
        <v>177</v>
      </c>
      <c r="B2" s="21" t="s">
        <v>178</v>
      </c>
      <c r="C2" s="21" t="s">
        <v>34</v>
      </c>
      <c r="D2" s="21">
        <v>4.0</v>
      </c>
      <c r="E2" s="21">
        <v>60.0</v>
      </c>
      <c r="F2" s="21">
        <v>0.0</v>
      </c>
      <c r="H2" s="22" t="s">
        <v>39</v>
      </c>
      <c r="I2" s="24">
        <f t="shared" ref="I2:I155" si="1">len(B2)-len(substitute(B2,char(10),""))</f>
        <v>0</v>
      </c>
      <c r="J2" s="24" t="str">
        <f t="shared" ref="J2:J155" si="2">IF(I2&gt;0,MID(B2,FIND(CHAR(10),B2),999),"")</f>
        <v/>
      </c>
      <c r="K2" s="24" t="str">
        <f t="shared" ref="K2:K155" si="3">substitute(B2,J2,"")</f>
        <v>HISTÓRIA E FUNDAMENTOS DA GEOGRAFIA - A</v>
      </c>
    </row>
    <row r="3">
      <c r="A3" s="21" t="s">
        <v>17</v>
      </c>
      <c r="B3" s="21" t="s">
        <v>66</v>
      </c>
      <c r="C3" s="21" t="s">
        <v>34</v>
      </c>
      <c r="D3" s="21">
        <v>4.0</v>
      </c>
      <c r="E3" s="21">
        <v>60.0</v>
      </c>
      <c r="F3" s="21">
        <v>0.0</v>
      </c>
      <c r="H3" s="22" t="s">
        <v>39</v>
      </c>
      <c r="I3" s="24">
        <f t="shared" si="1"/>
        <v>0</v>
      </c>
      <c r="J3" s="24" t="str">
        <f t="shared" si="2"/>
        <v/>
      </c>
      <c r="K3" s="24" t="str">
        <f t="shared" si="3"/>
        <v>INTRODUÇÃO À DINÂMICA E AOS PROCESSOS DA NATUREZA - B</v>
      </c>
    </row>
    <row r="4">
      <c r="A4" s="21" t="s">
        <v>72</v>
      </c>
      <c r="B4" s="21" t="s">
        <v>73</v>
      </c>
      <c r="C4" s="21" t="s">
        <v>34</v>
      </c>
      <c r="D4" s="21">
        <v>2.0</v>
      </c>
      <c r="E4" s="21">
        <v>30.0</v>
      </c>
      <c r="F4" s="21">
        <v>0.0</v>
      </c>
      <c r="H4" s="22" t="s">
        <v>39</v>
      </c>
      <c r="I4" s="24">
        <f t="shared" si="1"/>
        <v>0</v>
      </c>
      <c r="J4" s="24" t="str">
        <f t="shared" si="2"/>
        <v/>
      </c>
      <c r="K4" s="24" t="str">
        <f t="shared" si="3"/>
        <v>INTRODUÇÃO À TECNOLOGIA DA INFORMAÇÃO E COMUNICAÇÃO</v>
      </c>
    </row>
    <row r="5">
      <c r="A5" s="21" t="s">
        <v>77</v>
      </c>
      <c r="B5" s="21" t="s">
        <v>78</v>
      </c>
      <c r="C5" s="21" t="s">
        <v>34</v>
      </c>
      <c r="D5" s="21">
        <v>4.0</v>
      </c>
      <c r="E5" s="21">
        <v>60.0</v>
      </c>
      <c r="F5" s="21">
        <v>0.0</v>
      </c>
      <c r="H5" s="22" t="s">
        <v>39</v>
      </c>
      <c r="I5" s="24">
        <f t="shared" si="1"/>
        <v>0</v>
      </c>
      <c r="J5" s="24" t="str">
        <f t="shared" si="2"/>
        <v/>
      </c>
      <c r="K5" s="24" t="str">
        <f t="shared" si="3"/>
        <v>LEITURA E PRODUÇÃO TEXTUAL - A</v>
      </c>
    </row>
    <row r="6">
      <c r="A6" s="21" t="s">
        <v>82</v>
      </c>
      <c r="B6" s="21" t="s">
        <v>83</v>
      </c>
      <c r="C6" s="21" t="s">
        <v>34</v>
      </c>
      <c r="D6" s="21">
        <v>4.0</v>
      </c>
      <c r="E6" s="21">
        <v>60.0</v>
      </c>
      <c r="F6" s="21">
        <v>0.0</v>
      </c>
      <c r="H6" s="22" t="s">
        <v>39</v>
      </c>
      <c r="I6" s="24">
        <f t="shared" si="1"/>
        <v>0</v>
      </c>
      <c r="J6" s="24" t="str">
        <f t="shared" si="2"/>
        <v/>
      </c>
      <c r="K6" s="24" t="str">
        <f t="shared" si="3"/>
        <v>MODELOS MATEMÁTICOS ELEMENTARES</v>
      </c>
    </row>
    <row r="7">
      <c r="A7" s="21" t="s">
        <v>108</v>
      </c>
      <c r="B7" s="21" t="s">
        <v>109</v>
      </c>
      <c r="C7" s="21" t="s">
        <v>34</v>
      </c>
      <c r="D7" s="21">
        <v>4.0</v>
      </c>
      <c r="E7" s="21">
        <v>60.0</v>
      </c>
      <c r="F7" s="21">
        <v>0.0</v>
      </c>
      <c r="H7" s="22" t="s">
        <v>101</v>
      </c>
      <c r="I7" s="24">
        <f t="shared" si="1"/>
        <v>1</v>
      </c>
      <c r="J7" s="24" t="str">
        <f t="shared" si="2"/>
        <v>
 - DIL01101 - MODELOS MATEMÁTICOS ELEMENTARES</v>
      </c>
      <c r="K7" s="24" t="str">
        <f t="shared" si="3"/>
        <v>ESTATÍSTICA I</v>
      </c>
    </row>
    <row r="8">
      <c r="A8" s="21" t="s">
        <v>581</v>
      </c>
      <c r="B8" s="21" t="s">
        <v>582</v>
      </c>
      <c r="C8" s="21" t="s">
        <v>34</v>
      </c>
      <c r="D8" s="21">
        <v>4.0</v>
      </c>
      <c r="E8" s="21">
        <v>60.0</v>
      </c>
      <c r="F8" s="21">
        <v>15.0</v>
      </c>
      <c r="H8" s="22" t="s">
        <v>101</v>
      </c>
      <c r="I8" s="24">
        <f t="shared" si="1"/>
        <v>0</v>
      </c>
      <c r="J8" s="24" t="str">
        <f t="shared" si="2"/>
        <v/>
      </c>
      <c r="K8" s="24" t="str">
        <f t="shared" si="3"/>
        <v>GEOGRAFIA ECONÔMICA - CLN</v>
      </c>
    </row>
    <row r="9">
      <c r="A9" s="21" t="s">
        <v>170</v>
      </c>
      <c r="B9" s="21" t="s">
        <v>171</v>
      </c>
      <c r="C9" s="21" t="s">
        <v>34</v>
      </c>
      <c r="D9" s="21">
        <v>6.0</v>
      </c>
      <c r="E9" s="21">
        <v>90.0</v>
      </c>
      <c r="F9" s="21">
        <v>0.0</v>
      </c>
      <c r="H9" s="22" t="s">
        <v>101</v>
      </c>
      <c r="I9" s="24">
        <f t="shared" si="1"/>
        <v>0</v>
      </c>
      <c r="J9" s="24" t="str">
        <f t="shared" si="2"/>
        <v/>
      </c>
      <c r="K9" s="24" t="str">
        <f t="shared" si="3"/>
        <v>GEOLOGIA GERAL</v>
      </c>
    </row>
    <row r="10">
      <c r="A10" s="21" t="s">
        <v>131</v>
      </c>
      <c r="B10" s="21" t="s">
        <v>132</v>
      </c>
      <c r="C10" s="21" t="s">
        <v>34</v>
      </c>
      <c r="D10" s="21">
        <v>2.0</v>
      </c>
      <c r="E10" s="21">
        <v>30.0</v>
      </c>
      <c r="F10" s="21">
        <v>0.0</v>
      </c>
      <c r="H10" s="22" t="s">
        <v>101</v>
      </c>
      <c r="I10" s="24">
        <f t="shared" si="1"/>
        <v>0</v>
      </c>
      <c r="J10" s="24" t="str">
        <f t="shared" si="2"/>
        <v/>
      </c>
      <c r="K10" s="24" t="str">
        <f t="shared" si="3"/>
        <v>INTRODUÇÃO À PSICOLOGIA DO DESENVOLVIMENTO E DA APRENDIZAGEM</v>
      </c>
    </row>
    <row r="11">
      <c r="A11" s="21" t="s">
        <v>211</v>
      </c>
      <c r="B11" s="21" t="s">
        <v>212</v>
      </c>
      <c r="C11" s="21" t="s">
        <v>34</v>
      </c>
      <c r="D11" s="21">
        <v>2.0</v>
      </c>
      <c r="E11" s="21">
        <v>30.0</v>
      </c>
      <c r="F11" s="21">
        <v>0.0</v>
      </c>
      <c r="H11" s="22" t="s">
        <v>101</v>
      </c>
      <c r="I11" s="24">
        <f t="shared" si="1"/>
        <v>0</v>
      </c>
      <c r="J11" s="24" t="str">
        <f t="shared" si="2"/>
        <v/>
      </c>
      <c r="K11" s="24" t="str">
        <f t="shared" si="3"/>
        <v>LABORATÓRIO DE DOCÊNCIA I: A PROFISSÃO DOCENTE</v>
      </c>
    </row>
    <row r="12">
      <c r="A12" s="21" t="s">
        <v>148</v>
      </c>
      <c r="B12" s="21" t="s">
        <v>150</v>
      </c>
      <c r="C12" s="21" t="s">
        <v>34</v>
      </c>
      <c r="D12" s="21">
        <v>4.0</v>
      </c>
      <c r="E12" s="21">
        <v>60.0</v>
      </c>
      <c r="F12" s="21">
        <v>15.0</v>
      </c>
      <c r="H12" s="22" t="s">
        <v>101</v>
      </c>
      <c r="I12" s="24">
        <f t="shared" si="1"/>
        <v>0</v>
      </c>
      <c r="J12" s="24" t="str">
        <f t="shared" si="2"/>
        <v/>
      </c>
      <c r="K12" s="24" t="str">
        <f t="shared" si="3"/>
        <v>PRINCÍPIOS DE CARTOGRAFIA E AEROFOTOGEOGRAFIA</v>
      </c>
    </row>
    <row r="13">
      <c r="A13" s="21" t="s">
        <v>251</v>
      </c>
      <c r="B13" s="21" t="s">
        <v>592</v>
      </c>
      <c r="C13" s="21" t="s">
        <v>34</v>
      </c>
      <c r="D13" s="21">
        <v>4.0</v>
      </c>
      <c r="E13" s="21">
        <v>60.0</v>
      </c>
      <c r="F13" s="21">
        <v>15.0</v>
      </c>
      <c r="H13" s="22" t="s">
        <v>167</v>
      </c>
      <c r="I13" s="24">
        <f t="shared" si="1"/>
        <v>0</v>
      </c>
      <c r="J13" s="24" t="str">
        <f t="shared" si="2"/>
        <v/>
      </c>
      <c r="K13" s="24" t="str">
        <f t="shared" si="3"/>
        <v>CARTOGRAFIA TEMÁTICA E DIGITAL - A</v>
      </c>
    </row>
    <row r="14">
      <c r="A14" s="21" t="s">
        <v>510</v>
      </c>
      <c r="B14" s="21" t="s">
        <v>511</v>
      </c>
      <c r="C14" s="21" t="s">
        <v>34</v>
      </c>
      <c r="D14" s="21">
        <v>2.0</v>
      </c>
      <c r="E14" s="21">
        <v>30.0</v>
      </c>
      <c r="F14" s="21">
        <v>0.0</v>
      </c>
      <c r="H14" s="22" t="s">
        <v>167</v>
      </c>
      <c r="I14" s="24">
        <f t="shared" si="1"/>
        <v>0</v>
      </c>
      <c r="J14" s="24" t="str">
        <f t="shared" si="2"/>
        <v/>
      </c>
      <c r="K14" s="24" t="str">
        <f t="shared" si="3"/>
        <v>EDUCAÇÃO E DIVERSIDADE</v>
      </c>
    </row>
    <row r="15">
      <c r="A15" s="21" t="s">
        <v>282</v>
      </c>
      <c r="B15" s="21" t="s">
        <v>597</v>
      </c>
      <c r="C15" s="21" t="s">
        <v>34</v>
      </c>
      <c r="D15" s="21">
        <v>4.0</v>
      </c>
      <c r="E15" s="21">
        <v>60.0</v>
      </c>
      <c r="F15" s="21">
        <v>10.0</v>
      </c>
      <c r="H15" s="22" t="s">
        <v>167</v>
      </c>
      <c r="I15" s="24">
        <f t="shared" si="1"/>
        <v>0</v>
      </c>
      <c r="J15" s="24" t="str">
        <f t="shared" si="2"/>
        <v/>
      </c>
      <c r="K15" s="24" t="str">
        <f t="shared" si="3"/>
        <v>FUNDAMENTOS DE METEOROLOGIA E CLIMATOLOGIA A</v>
      </c>
    </row>
    <row r="16">
      <c r="A16" s="21" t="s">
        <v>599</v>
      </c>
      <c r="B16" s="21" t="s">
        <v>601</v>
      </c>
      <c r="C16" s="21" t="s">
        <v>34</v>
      </c>
      <c r="D16" s="21">
        <v>4.0</v>
      </c>
      <c r="E16" s="21">
        <v>60.0</v>
      </c>
      <c r="F16" s="21">
        <v>15.0</v>
      </c>
      <c r="H16" s="22" t="s">
        <v>167</v>
      </c>
      <c r="I16" s="24">
        <f t="shared" si="1"/>
        <v>0</v>
      </c>
      <c r="J16" s="24" t="str">
        <f t="shared" si="2"/>
        <v/>
      </c>
      <c r="K16" s="24" t="str">
        <f t="shared" si="3"/>
        <v>GEOGRAFIA DA POPULAÇÃO</v>
      </c>
    </row>
    <row r="17">
      <c r="A17" s="21" t="s">
        <v>312</v>
      </c>
      <c r="B17" s="21" t="s">
        <v>327</v>
      </c>
      <c r="C17" s="21" t="s">
        <v>34</v>
      </c>
      <c r="D17" s="21">
        <v>6.0</v>
      </c>
      <c r="E17" s="21">
        <v>90.0</v>
      </c>
      <c r="F17" s="21">
        <v>15.0</v>
      </c>
      <c r="H17" s="22" t="s">
        <v>167</v>
      </c>
      <c r="I17" s="24">
        <f t="shared" si="1"/>
        <v>0</v>
      </c>
      <c r="J17" s="24" t="str">
        <f t="shared" si="2"/>
        <v/>
      </c>
      <c r="K17" s="24" t="str">
        <f t="shared" si="3"/>
        <v>GEOMORFOLOGIA E AMBIENTES A</v>
      </c>
    </row>
    <row r="18">
      <c r="A18" s="21" t="s">
        <v>333</v>
      </c>
      <c r="B18" s="21" t="s">
        <v>336</v>
      </c>
      <c r="C18" s="21" t="s">
        <v>34</v>
      </c>
      <c r="D18" s="21">
        <v>2.0</v>
      </c>
      <c r="E18" s="21">
        <v>30.0</v>
      </c>
      <c r="F18" s="21">
        <v>0.0</v>
      </c>
      <c r="H18" s="22" t="s">
        <v>167</v>
      </c>
      <c r="I18" s="24">
        <f t="shared" si="1"/>
        <v>0</v>
      </c>
      <c r="J18" s="24" t="str">
        <f t="shared" si="2"/>
        <v/>
      </c>
      <c r="K18" s="24" t="str">
        <f t="shared" si="3"/>
        <v>LABORATÓRIO DE DOCÊNCIA II: O AMBIENTE ESCOLAR - A</v>
      </c>
    </row>
    <row r="19">
      <c r="A19" s="21" t="s">
        <v>381</v>
      </c>
      <c r="B19" s="21" t="s">
        <v>382</v>
      </c>
      <c r="C19" s="21" t="s">
        <v>34</v>
      </c>
      <c r="D19" s="21">
        <v>4.0</v>
      </c>
      <c r="E19" s="21">
        <v>60.0</v>
      </c>
      <c r="F19" s="21">
        <v>0.0</v>
      </c>
      <c r="H19" s="22" t="s">
        <v>233</v>
      </c>
      <c r="I19" s="24">
        <f t="shared" si="1"/>
        <v>0</v>
      </c>
      <c r="J19" s="24" t="str">
        <f t="shared" si="2"/>
        <v/>
      </c>
      <c r="K19" s="24" t="str">
        <f t="shared" si="3"/>
        <v>FILOSOFIA E SOCIOLOGIA DA EDUCAÇÃO</v>
      </c>
    </row>
    <row r="20">
      <c r="A20" s="21" t="s">
        <v>394</v>
      </c>
      <c r="B20" s="21" t="s">
        <v>603</v>
      </c>
      <c r="C20" s="21" t="s">
        <v>34</v>
      </c>
      <c r="D20" s="21">
        <v>6.0</v>
      </c>
      <c r="E20" s="21">
        <v>90.0</v>
      </c>
      <c r="F20" s="21">
        <v>0.0</v>
      </c>
      <c r="H20" s="22" t="s">
        <v>233</v>
      </c>
      <c r="I20" s="24">
        <f t="shared" si="1"/>
        <v>0</v>
      </c>
      <c r="J20" s="24" t="str">
        <f t="shared" si="2"/>
        <v/>
      </c>
      <c r="K20" s="24" t="str">
        <f t="shared" si="3"/>
        <v>GEOGRAFIA AGRÁRIA - A</v>
      </c>
    </row>
    <row r="21">
      <c r="A21" s="21" t="s">
        <v>563</v>
      </c>
      <c r="B21" s="21" t="s">
        <v>606</v>
      </c>
      <c r="C21" s="21" t="s">
        <v>34</v>
      </c>
      <c r="D21" s="21">
        <v>6.0</v>
      </c>
      <c r="E21" s="21">
        <v>90.0</v>
      </c>
      <c r="F21" s="21">
        <v>0.0</v>
      </c>
      <c r="H21" s="22" t="s">
        <v>233</v>
      </c>
      <c r="I21" s="24">
        <f t="shared" si="1"/>
        <v>0</v>
      </c>
      <c r="J21" s="24" t="str">
        <f t="shared" si="2"/>
        <v/>
      </c>
      <c r="K21" s="24" t="str">
        <f t="shared" si="3"/>
        <v>GEOMORFOLOGIA E AMBIENTES II</v>
      </c>
    </row>
    <row r="22">
      <c r="A22" s="21" t="s">
        <v>608</v>
      </c>
      <c r="B22" s="21" t="s">
        <v>610</v>
      </c>
      <c r="C22" s="21" t="s">
        <v>34</v>
      </c>
      <c r="D22" s="21">
        <v>4.0</v>
      </c>
      <c r="E22" s="21">
        <v>60.0</v>
      </c>
      <c r="F22" s="21">
        <v>0.0</v>
      </c>
      <c r="H22" s="22" t="s">
        <v>233</v>
      </c>
      <c r="I22" s="24">
        <f t="shared" si="1"/>
        <v>0</v>
      </c>
      <c r="J22" s="24" t="str">
        <f t="shared" si="2"/>
        <v/>
      </c>
      <c r="K22" s="24" t="str">
        <f t="shared" si="3"/>
        <v>LABORATÓRIO DE DOCÊNCIA III: CURRÍCULO, DIDÁTICA E AVALIAÇÃO</v>
      </c>
    </row>
    <row r="23">
      <c r="A23" s="21" t="s">
        <v>291</v>
      </c>
      <c r="B23" s="21" t="s">
        <v>611</v>
      </c>
      <c r="C23" s="21" t="s">
        <v>34</v>
      </c>
      <c r="D23" s="21">
        <v>4.0</v>
      </c>
      <c r="E23" s="21">
        <v>60.0</v>
      </c>
      <c r="F23" s="21">
        <v>0.0</v>
      </c>
      <c r="H23" s="22" t="s">
        <v>233</v>
      </c>
      <c r="I23" s="24">
        <f t="shared" si="1"/>
        <v>0</v>
      </c>
      <c r="J23" s="24" t="str">
        <f t="shared" si="2"/>
        <v/>
      </c>
      <c r="K23" s="24" t="str">
        <f t="shared" si="3"/>
        <v>SENSORIAMENTO REMOTO - A</v>
      </c>
    </row>
    <row r="24">
      <c r="A24" s="21" t="s">
        <v>614</v>
      </c>
      <c r="B24" s="21" t="s">
        <v>615</v>
      </c>
      <c r="C24" s="21" t="s">
        <v>34</v>
      </c>
      <c r="D24" s="21">
        <v>4.0</v>
      </c>
      <c r="E24" s="21">
        <v>60.0</v>
      </c>
      <c r="F24" s="21">
        <v>15.0</v>
      </c>
      <c r="H24" s="22" t="s">
        <v>300</v>
      </c>
      <c r="I24" s="24">
        <f t="shared" si="1"/>
        <v>0</v>
      </c>
      <c r="J24" s="24" t="str">
        <f t="shared" si="2"/>
        <v/>
      </c>
      <c r="K24" s="24" t="str">
        <f t="shared" si="3"/>
        <v>EDUCAÇÃO PARA RELAÇÕES ÉTNICO-RACIAIS</v>
      </c>
    </row>
    <row r="25">
      <c r="A25" s="21" t="s">
        <v>480</v>
      </c>
      <c r="B25" s="21" t="s">
        <v>616</v>
      </c>
      <c r="C25" s="21" t="s">
        <v>34</v>
      </c>
      <c r="D25" s="21">
        <v>6.0</v>
      </c>
      <c r="E25" s="21">
        <v>90.0</v>
      </c>
      <c r="F25" s="21">
        <v>15.0</v>
      </c>
      <c r="H25" s="22" t="s">
        <v>300</v>
      </c>
      <c r="I25" s="24">
        <f t="shared" si="1"/>
        <v>0</v>
      </c>
      <c r="J25" s="24" t="str">
        <f t="shared" si="2"/>
        <v/>
      </c>
      <c r="K25" s="24" t="str">
        <f t="shared" si="3"/>
        <v>GEOGRAFIA URBANA A</v>
      </c>
    </row>
    <row r="26">
      <c r="A26" s="21" t="s">
        <v>484</v>
      </c>
      <c r="B26" s="21" t="s">
        <v>618</v>
      </c>
      <c r="C26" s="21" t="s">
        <v>34</v>
      </c>
      <c r="D26" s="21">
        <v>4.0</v>
      </c>
      <c r="E26" s="21">
        <v>60.0</v>
      </c>
      <c r="F26" s="21">
        <v>0.0</v>
      </c>
      <c r="H26" s="22" t="s">
        <v>300</v>
      </c>
      <c r="I26" s="24">
        <f t="shared" si="1"/>
        <v>0</v>
      </c>
      <c r="J26" s="24" t="str">
        <f t="shared" si="2"/>
        <v/>
      </c>
      <c r="K26" s="24" t="str">
        <f t="shared" si="3"/>
        <v>GEOPROCESSAMENTO B</v>
      </c>
    </row>
    <row r="27">
      <c r="A27" s="21" t="s">
        <v>401</v>
      </c>
      <c r="B27" s="21" t="s">
        <v>404</v>
      </c>
      <c r="C27" s="21" t="s">
        <v>34</v>
      </c>
      <c r="D27" s="21">
        <v>6.0</v>
      </c>
      <c r="E27" s="21">
        <v>90.0</v>
      </c>
      <c r="F27" s="21">
        <v>15.0</v>
      </c>
      <c r="H27" s="22" t="s">
        <v>300</v>
      </c>
      <c r="I27" s="24">
        <f t="shared" si="1"/>
        <v>0</v>
      </c>
      <c r="J27" s="24" t="str">
        <f t="shared" si="2"/>
        <v/>
      </c>
      <c r="K27" s="24" t="str">
        <f t="shared" si="3"/>
        <v>HIDROGRAFIA E OCEANOGRAFIA A</v>
      </c>
    </row>
    <row r="28">
      <c r="A28" s="21" t="s">
        <v>442</v>
      </c>
      <c r="B28" s="21" t="s">
        <v>443</v>
      </c>
      <c r="C28" s="21" t="s">
        <v>34</v>
      </c>
      <c r="D28" s="21">
        <v>2.0</v>
      </c>
      <c r="E28" s="21">
        <v>30.0</v>
      </c>
      <c r="F28" s="21">
        <v>0.0</v>
      </c>
      <c r="H28" s="22" t="s">
        <v>300</v>
      </c>
      <c r="I28" s="24">
        <f t="shared" si="1"/>
        <v>0</v>
      </c>
      <c r="J28" s="24" t="str">
        <f t="shared" si="2"/>
        <v/>
      </c>
      <c r="K28" s="24" t="str">
        <f t="shared" si="3"/>
        <v>HISTÓRIA DA EDUCAÇÃO - A</v>
      </c>
    </row>
    <row r="29">
      <c r="A29" s="21" t="s">
        <v>461</v>
      </c>
      <c r="B29" s="21" t="s">
        <v>462</v>
      </c>
      <c r="C29" s="21" t="s">
        <v>34</v>
      </c>
      <c r="D29" s="21">
        <v>2.0</v>
      </c>
      <c r="E29" s="21">
        <v>30.0</v>
      </c>
      <c r="F29" s="21">
        <v>0.0</v>
      </c>
      <c r="H29" s="22" t="s">
        <v>300</v>
      </c>
      <c r="I29" s="24">
        <f t="shared" si="1"/>
        <v>0</v>
      </c>
      <c r="J29" s="24" t="str">
        <f t="shared" si="2"/>
        <v/>
      </c>
      <c r="K29" s="24" t="str">
        <f t="shared" si="3"/>
        <v>LABORATÓRIO DE DOCÊNCIA IV: A GESTÃO ESCOLAR</v>
      </c>
    </row>
    <row r="30">
      <c r="A30" s="21" t="s">
        <v>323</v>
      </c>
      <c r="B30" s="21" t="s">
        <v>324</v>
      </c>
      <c r="C30" s="21" t="s">
        <v>34</v>
      </c>
      <c r="D30" s="21">
        <v>4.0</v>
      </c>
      <c r="E30" s="21">
        <v>60.0</v>
      </c>
      <c r="F30" s="21">
        <v>0.0</v>
      </c>
      <c r="H30" s="22" t="s">
        <v>300</v>
      </c>
      <c r="I30" s="24">
        <f t="shared" si="1"/>
        <v>0</v>
      </c>
      <c r="J30" s="24" t="str">
        <f t="shared" si="2"/>
        <v/>
      </c>
      <c r="K30" s="24" t="str">
        <f t="shared" si="3"/>
        <v>LÍNGUA BRASILEIRA DE SINAIS - LIBRAS</v>
      </c>
    </row>
    <row r="31">
      <c r="A31" s="21" t="s">
        <v>489</v>
      </c>
      <c r="B31" s="21" t="s">
        <v>619</v>
      </c>
      <c r="C31" s="21" t="s">
        <v>34</v>
      </c>
      <c r="D31" s="21">
        <v>6.0</v>
      </c>
      <c r="E31" s="21">
        <v>90.0</v>
      </c>
      <c r="F31" s="21">
        <v>15.0</v>
      </c>
      <c r="H31" s="22" t="s">
        <v>355</v>
      </c>
      <c r="I31" s="24">
        <f t="shared" si="1"/>
        <v>0</v>
      </c>
      <c r="J31" s="24" t="str">
        <f t="shared" si="2"/>
        <v/>
      </c>
      <c r="K31" s="24" t="str">
        <f t="shared" si="3"/>
        <v>BIOGEOGRAFIA A</v>
      </c>
    </row>
    <row r="32">
      <c r="A32" s="21" t="s">
        <v>533</v>
      </c>
      <c r="B32" s="21" t="s">
        <v>620</v>
      </c>
      <c r="C32" s="21" t="s">
        <v>34</v>
      </c>
      <c r="D32" s="21">
        <v>6.0</v>
      </c>
      <c r="E32" s="21">
        <v>90.0</v>
      </c>
      <c r="F32" s="21">
        <v>15.0</v>
      </c>
      <c r="H32" s="22" t="s">
        <v>355</v>
      </c>
      <c r="I32" s="24">
        <f t="shared" si="1"/>
        <v>0</v>
      </c>
      <c r="J32" s="24" t="str">
        <f t="shared" si="2"/>
        <v/>
      </c>
      <c r="K32" s="24" t="str">
        <f t="shared" si="3"/>
        <v>GEOGRAFIA DO BRASIL A</v>
      </c>
    </row>
    <row r="33">
      <c r="A33" s="21" t="s">
        <v>535</v>
      </c>
      <c r="B33" s="21" t="s">
        <v>621</v>
      </c>
      <c r="C33" s="21" t="s">
        <v>34</v>
      </c>
      <c r="D33" s="21">
        <v>6.0</v>
      </c>
      <c r="E33" s="21">
        <v>90.0</v>
      </c>
      <c r="F33" s="21">
        <v>15.0</v>
      </c>
      <c r="H33" s="22" t="s">
        <v>355</v>
      </c>
      <c r="I33" s="24">
        <f t="shared" si="1"/>
        <v>1</v>
      </c>
      <c r="J33" s="24" t="str">
        <f t="shared" si="2"/>
        <v>
 - DIL01157 - ESCALAS DE ANÁLISE REGIONAL E TERRITORIAL</v>
      </c>
      <c r="K33" s="24" t="str">
        <f t="shared" si="3"/>
        <v>GEOGRAFIA POLÍTICA A</v>
      </c>
    </row>
    <row r="34">
      <c r="A34" s="21" t="s">
        <v>622</v>
      </c>
      <c r="B34" s="21" t="s">
        <v>623</v>
      </c>
      <c r="C34" s="21" t="s">
        <v>34</v>
      </c>
      <c r="D34" s="21">
        <v>2.0</v>
      </c>
      <c r="E34" s="21">
        <v>30.0</v>
      </c>
      <c r="F34" s="21">
        <v>15.0</v>
      </c>
      <c r="H34" s="22" t="s">
        <v>355</v>
      </c>
      <c r="I34" s="24">
        <f t="shared" si="1"/>
        <v>0</v>
      </c>
      <c r="J34" s="24" t="str">
        <f t="shared" si="2"/>
        <v/>
      </c>
      <c r="K34" s="24" t="str">
        <f t="shared" si="3"/>
        <v>LABORATÓRIO DE DOCÊNCIA V: A GEOGRAFIA ESCOLAR</v>
      </c>
    </row>
    <row r="35">
      <c r="A35" s="21" t="s">
        <v>624</v>
      </c>
      <c r="B35" s="21" t="s">
        <v>625</v>
      </c>
      <c r="C35" s="21" t="s">
        <v>34</v>
      </c>
      <c r="D35" s="21">
        <v>2.0</v>
      </c>
      <c r="E35" s="21">
        <v>30.0</v>
      </c>
      <c r="F35" s="21">
        <v>0.0</v>
      </c>
      <c r="H35" s="22" t="s">
        <v>355</v>
      </c>
      <c r="I35" s="24">
        <f t="shared" si="1"/>
        <v>0</v>
      </c>
      <c r="J35" s="24" t="str">
        <f t="shared" si="2"/>
        <v/>
      </c>
      <c r="K35" s="24" t="str">
        <f t="shared" si="3"/>
        <v>POLÍTICAS PÚBLICAS DA EDUCAÇÃO</v>
      </c>
    </row>
    <row r="36">
      <c r="A36" s="21" t="s">
        <v>626</v>
      </c>
      <c r="B36" s="21" t="s">
        <v>627</v>
      </c>
      <c r="C36" s="21" t="s">
        <v>34</v>
      </c>
      <c r="D36" s="21">
        <v>4.0</v>
      </c>
      <c r="E36" s="21">
        <v>60.0</v>
      </c>
      <c r="F36" s="21">
        <v>15.0</v>
      </c>
      <c r="H36" s="22" t="s">
        <v>417</v>
      </c>
      <c r="I36" s="24">
        <f t="shared" si="1"/>
        <v>0</v>
      </c>
      <c r="J36" s="24" t="str">
        <f t="shared" si="2"/>
        <v/>
      </c>
      <c r="K36" s="24" t="str">
        <f t="shared" si="3"/>
        <v>CLIMATOLOGIA GEOGRÁFICA</v>
      </c>
    </row>
    <row r="37">
      <c r="A37" s="21" t="s">
        <v>628</v>
      </c>
      <c r="B37" s="21" t="s">
        <v>629</v>
      </c>
      <c r="C37" s="21" t="s">
        <v>34</v>
      </c>
      <c r="D37" s="21">
        <v>4.0</v>
      </c>
      <c r="E37" s="21">
        <v>60.0</v>
      </c>
      <c r="F37" s="21">
        <v>0.0</v>
      </c>
      <c r="H37" s="22" t="s">
        <v>417</v>
      </c>
      <c r="I37" s="24">
        <f t="shared" si="1"/>
        <v>0</v>
      </c>
      <c r="J37" s="24" t="str">
        <f t="shared" si="2"/>
        <v/>
      </c>
      <c r="K37" s="24" t="str">
        <f t="shared" si="3"/>
        <v>EPISTEMOLOGIA DA GEOGRAFIA</v>
      </c>
    </row>
    <row r="38">
      <c r="A38" s="21" t="s">
        <v>630</v>
      </c>
      <c r="B38" s="21" t="s">
        <v>631</v>
      </c>
      <c r="C38" s="21" t="s">
        <v>34</v>
      </c>
      <c r="D38" s="21">
        <v>6.0</v>
      </c>
      <c r="E38" s="21">
        <v>90.0</v>
      </c>
      <c r="F38" s="21">
        <v>15.0</v>
      </c>
      <c r="H38" s="22" t="s">
        <v>417</v>
      </c>
      <c r="I38" s="24">
        <f t="shared" si="1"/>
        <v>0</v>
      </c>
      <c r="J38" s="24" t="str">
        <f t="shared" si="2"/>
        <v/>
      </c>
      <c r="K38" s="24" t="str">
        <f t="shared" si="3"/>
        <v>GEOGRAFIA CULTURAL - CLN</v>
      </c>
    </row>
    <row r="39">
      <c r="A39" s="21" t="s">
        <v>632</v>
      </c>
      <c r="B39" s="21" t="s">
        <v>633</v>
      </c>
      <c r="C39" s="21" t="s">
        <v>34</v>
      </c>
      <c r="D39" s="21">
        <v>6.0</v>
      </c>
      <c r="E39" s="21">
        <v>90.0</v>
      </c>
      <c r="F39" s="21">
        <v>15.0</v>
      </c>
      <c r="H39" s="22" t="s">
        <v>417</v>
      </c>
      <c r="I39" s="24">
        <f t="shared" si="1"/>
        <v>0</v>
      </c>
      <c r="J39" s="24" t="str">
        <f t="shared" si="2"/>
        <v/>
      </c>
      <c r="K39" s="24" t="str">
        <f t="shared" si="3"/>
        <v>GEOGRAFIA DA AMÉRICA LATINA</v>
      </c>
    </row>
    <row r="40">
      <c r="A40" s="21" t="s">
        <v>634</v>
      </c>
      <c r="B40" s="21" t="s">
        <v>635</v>
      </c>
      <c r="C40" s="21" t="s">
        <v>34</v>
      </c>
      <c r="D40" s="21">
        <v>4.0</v>
      </c>
      <c r="E40" s="21">
        <v>60.0</v>
      </c>
      <c r="F40" s="21">
        <v>15.0</v>
      </c>
      <c r="H40" s="22" t="s">
        <v>417</v>
      </c>
      <c r="I40" s="24">
        <f t="shared" si="1"/>
        <v>0</v>
      </c>
      <c r="J40" s="24" t="str">
        <f t="shared" si="2"/>
        <v/>
      </c>
      <c r="K40" s="24" t="str">
        <f t="shared" si="3"/>
        <v>LABORATÓRIO DE DOCÊNCIA VI: A CARTOGRAFIA ESCOLAR</v>
      </c>
    </row>
    <row r="41">
      <c r="A41" s="21" t="s">
        <v>636</v>
      </c>
      <c r="B41" s="21" t="s">
        <v>637</v>
      </c>
      <c r="C41" s="21" t="s">
        <v>34</v>
      </c>
      <c r="D41" s="21">
        <v>8.0</v>
      </c>
      <c r="E41" s="21">
        <v>120.0</v>
      </c>
      <c r="F41" s="21">
        <v>0.0</v>
      </c>
      <c r="H41" s="22" t="s">
        <v>453</v>
      </c>
      <c r="I41" s="24">
        <f t="shared" si="1"/>
        <v>6</v>
      </c>
      <c r="J41" s="24" t="str">
        <f t="shared" si="2"/>
        <v>
 - DIL01067 - LABORATÓRIO DE DOCÊNCIA I: A PROFISSÃO DOCENTE
 - e DIL01096 - LABORATÓRIO DE DOCÊNCIA III: CURRÍCULO, DIDÁTICA E AVALIAÇÃO
 - e DIL01358 - LABORATÓRIO DE DOCÊNCIA II: O AMBIENTE ESCOLAR - A
 - e DIL01362 - LABORATÓRIO DE DOCÊNCIA IV: A GESTÃO ESCOLAR
 - e DIL01369 - LABORATÓRIO DE DOCÊNCIA V: A GEOGRAFIA ESCOLAR
 - e DIL01372 - LABORATÓRIO DE DOCÊNCIA VI: A CARTOGRAFIA ESCOLAR</v>
      </c>
      <c r="K41" s="24" t="str">
        <f t="shared" si="3"/>
        <v>ESTÁGIO DE DOCÊNCIA EM GEOGRAFIA I: PREPARAÇÃO À DOCÊNCIA</v>
      </c>
    </row>
    <row r="42">
      <c r="A42" s="21" t="s">
        <v>638</v>
      </c>
      <c r="B42" s="21" t="s">
        <v>639</v>
      </c>
      <c r="C42" s="21" t="s">
        <v>34</v>
      </c>
      <c r="D42" s="21">
        <v>4.0</v>
      </c>
      <c r="E42" s="21">
        <v>60.0</v>
      </c>
      <c r="F42" s="21">
        <v>0.0</v>
      </c>
      <c r="H42" s="22" t="s">
        <v>453</v>
      </c>
      <c r="I42" s="24">
        <f t="shared" si="1"/>
        <v>0</v>
      </c>
      <c r="J42" s="24" t="str">
        <f t="shared" si="2"/>
        <v/>
      </c>
      <c r="K42" s="24" t="str">
        <f t="shared" si="3"/>
        <v>LABORATÓRIO DE DOCÊNCIA VII: INSTRUMENTAÇÃO PARA O ENSINO DA GEOGRAFIA I</v>
      </c>
    </row>
    <row r="43">
      <c r="A43" s="21" t="s">
        <v>640</v>
      </c>
      <c r="B43" s="21" t="s">
        <v>641</v>
      </c>
      <c r="C43" s="21" t="s">
        <v>34</v>
      </c>
      <c r="D43" s="21">
        <v>4.0</v>
      </c>
      <c r="E43" s="21">
        <v>60.0</v>
      </c>
      <c r="F43" s="21">
        <v>0.0</v>
      </c>
      <c r="H43" s="22" t="s">
        <v>453</v>
      </c>
      <c r="I43" s="24">
        <f t="shared" si="1"/>
        <v>1</v>
      </c>
      <c r="J43" s="24" t="str">
        <f t="shared" si="2"/>
        <v>
 - DIL01197 - EPISTEMOLOGIA DA GEOGRAFIA</v>
      </c>
      <c r="K43" s="24" t="str">
        <f t="shared" si="3"/>
        <v>METODOLOGIA DA PESQUISA EM GEOGRAFIA</v>
      </c>
    </row>
    <row r="44">
      <c r="A44" s="21" t="s">
        <v>642</v>
      </c>
      <c r="B44" s="21" t="s">
        <v>643</v>
      </c>
      <c r="C44" s="21" t="s">
        <v>34</v>
      </c>
      <c r="D44" s="21">
        <v>4.0</v>
      </c>
      <c r="E44" s="21">
        <v>60.0</v>
      </c>
      <c r="F44" s="21">
        <v>15.0</v>
      </c>
      <c r="H44" s="22" t="s">
        <v>453</v>
      </c>
      <c r="I44" s="24">
        <f t="shared" si="1"/>
        <v>0</v>
      </c>
      <c r="J44" s="24" t="str">
        <f t="shared" si="2"/>
        <v/>
      </c>
      <c r="K44" s="24" t="str">
        <f t="shared" si="3"/>
        <v>REGIONALIZAÇÃO DO ESPAÇO MUNDIAL</v>
      </c>
    </row>
    <row r="45">
      <c r="A45" s="21" t="s">
        <v>644</v>
      </c>
      <c r="B45" s="21" t="s">
        <v>645</v>
      </c>
      <c r="C45" s="21" t="s">
        <v>34</v>
      </c>
      <c r="D45" s="21">
        <v>10.0</v>
      </c>
      <c r="E45" s="21">
        <v>150.0</v>
      </c>
      <c r="F45" s="21">
        <v>0.0</v>
      </c>
      <c r="H45" s="22" t="s">
        <v>479</v>
      </c>
      <c r="I45" s="24">
        <f t="shared" si="1"/>
        <v>1</v>
      </c>
      <c r="J45" s="24" t="str">
        <f t="shared" si="2"/>
        <v>
 - DIL01371 - ESTÁGIO DE DOCÊNCIA EM GEOGRAFIA I: PREPARAÇÃO À DOCÊNCIA</v>
      </c>
      <c r="K45" s="24" t="str">
        <f t="shared" si="3"/>
        <v>ESTÁGIO DE DOCÊNCIA EM GEOGRAFIA II</v>
      </c>
    </row>
    <row r="46">
      <c r="A46" s="21" t="s">
        <v>646</v>
      </c>
      <c r="B46" s="21" t="s">
        <v>647</v>
      </c>
      <c r="C46" s="21" t="s">
        <v>34</v>
      </c>
      <c r="D46" s="21">
        <v>6.0</v>
      </c>
      <c r="E46" s="21">
        <v>90.0</v>
      </c>
      <c r="F46" s="21">
        <v>15.0</v>
      </c>
      <c r="H46" s="22" t="s">
        <v>479</v>
      </c>
      <c r="I46" s="24">
        <f t="shared" si="1"/>
        <v>0</v>
      </c>
      <c r="J46" s="24" t="str">
        <f t="shared" si="2"/>
        <v/>
      </c>
      <c r="K46" s="24" t="str">
        <f t="shared" si="3"/>
        <v>GEOGRAFIA DO RIO GRANDE DO SUL</v>
      </c>
    </row>
    <row r="47">
      <c r="A47" s="21" t="s">
        <v>648</v>
      </c>
      <c r="B47" s="21" t="s">
        <v>649</v>
      </c>
      <c r="C47" s="21" t="s">
        <v>34</v>
      </c>
      <c r="D47" s="21">
        <v>4.0</v>
      </c>
      <c r="E47" s="21">
        <v>60.0</v>
      </c>
      <c r="F47" s="21">
        <v>0.0</v>
      </c>
      <c r="H47" s="22" t="s">
        <v>479</v>
      </c>
      <c r="I47" s="24">
        <f t="shared" si="1"/>
        <v>0</v>
      </c>
      <c r="J47" s="24" t="str">
        <f t="shared" si="2"/>
        <v/>
      </c>
      <c r="K47" s="24" t="str">
        <f t="shared" si="3"/>
        <v>LABORATÓRIO DE DOCÊNCIA VIII: INSTRUMENTAÇÃO PARA O ENSINO DE GEOGRAFIA II</v>
      </c>
    </row>
    <row r="48">
      <c r="A48" s="21" t="s">
        <v>650</v>
      </c>
      <c r="B48" s="21" t="s">
        <v>651</v>
      </c>
      <c r="C48" s="21" t="s">
        <v>34</v>
      </c>
      <c r="D48" s="21">
        <v>4.0</v>
      </c>
      <c r="E48" s="21">
        <v>60.0</v>
      </c>
      <c r="F48" s="21">
        <v>0.0</v>
      </c>
      <c r="H48" s="22" t="s">
        <v>479</v>
      </c>
      <c r="I48" s="24">
        <f t="shared" si="1"/>
        <v>0</v>
      </c>
      <c r="J48" s="24" t="str">
        <f t="shared" si="2"/>
        <v/>
      </c>
      <c r="K48" s="24" t="str">
        <f t="shared" si="3"/>
        <v>PRÁTICAS PEDAGÓGICAS INCLUSIVAS E O ENSINO DE GEOGRAFIA</v>
      </c>
    </row>
    <row r="49">
      <c r="B49" s="21" t="s">
        <v>652</v>
      </c>
      <c r="C49" s="21" t="s">
        <v>34</v>
      </c>
      <c r="D49" s="21">
        <v>0.0</v>
      </c>
      <c r="E49" s="21">
        <v>30.0</v>
      </c>
      <c r="F49" s="21">
        <v>0.0</v>
      </c>
      <c r="H49" s="22" t="s">
        <v>479</v>
      </c>
      <c r="I49" s="24">
        <f t="shared" si="1"/>
        <v>1</v>
      </c>
      <c r="J49" s="24" t="str">
        <f t="shared" si="2"/>
        <v>
 - DIL01203 - METODOLOGIA DA PESQUISA EM GEOGRAFIA</v>
      </c>
      <c r="K49" s="24" t="str">
        <f t="shared" si="3"/>
        <v>TRABALHO DE CONCLUSÃO DE CURSO LICENCIATURA EM GEOGRAFIA - CLN I</v>
      </c>
    </row>
    <row r="50">
      <c r="A50" s="21" t="s">
        <v>653</v>
      </c>
      <c r="B50" s="21" t="s">
        <v>654</v>
      </c>
      <c r="C50" s="21" t="s">
        <v>34</v>
      </c>
      <c r="D50" s="21">
        <v>10.0</v>
      </c>
      <c r="E50" s="21">
        <v>150.0</v>
      </c>
      <c r="F50" s="21">
        <v>0.0</v>
      </c>
      <c r="H50" s="22" t="s">
        <v>507</v>
      </c>
      <c r="I50" s="24">
        <f t="shared" si="1"/>
        <v>1</v>
      </c>
      <c r="J50" s="24" t="str">
        <f t="shared" si="2"/>
        <v>
 - DIL01371 - ESTÁGIO DE DOCÊNCIA EM GEOGRAFIA I: PREPARAÇÃO À DOCÊNCIA</v>
      </c>
      <c r="K50" s="24" t="str">
        <f t="shared" si="3"/>
        <v>ESTÁGIO DE DOCÊNCIA EM GEOGRAFIA III</v>
      </c>
    </row>
    <row r="51">
      <c r="B51" s="21" t="s">
        <v>655</v>
      </c>
      <c r="C51" s="21" t="s">
        <v>34</v>
      </c>
      <c r="D51" s="21">
        <v>0.0</v>
      </c>
      <c r="E51" s="21">
        <v>60.0</v>
      </c>
      <c r="F51" s="21">
        <v>0.0</v>
      </c>
      <c r="H51" s="22" t="s">
        <v>507</v>
      </c>
      <c r="I51" s="24">
        <f t="shared" si="1"/>
        <v>1</v>
      </c>
      <c r="J51" s="24" t="str">
        <f t="shared" si="2"/>
        <v>
 - TRABALHO - TRABALHO DE CONCLUSÃO DE CURSO LICENCIATURA EM GEOGRAFIA - CLN I</v>
      </c>
      <c r="K51" s="24" t="str">
        <f t="shared" si="3"/>
        <v>TRABALHO DE CONCLUSÃO DE CURSO LICENCIATURA EM GEOGRAFIA - CLN II</v>
      </c>
    </row>
    <row r="52">
      <c r="A52" s="21" t="s">
        <v>98</v>
      </c>
      <c r="B52" s="21" t="s">
        <v>99</v>
      </c>
      <c r="C52" s="21" t="s">
        <v>97</v>
      </c>
      <c r="D52" s="21">
        <v>4.0</v>
      </c>
      <c r="E52" s="21">
        <v>60.0</v>
      </c>
      <c r="F52" s="21">
        <v>0.0</v>
      </c>
      <c r="H52" s="22" t="s">
        <v>507</v>
      </c>
      <c r="I52" s="24">
        <f t="shared" si="1"/>
        <v>0</v>
      </c>
      <c r="J52" s="24" t="str">
        <f t="shared" si="2"/>
        <v/>
      </c>
      <c r="K52" s="24" t="str">
        <f t="shared" si="3"/>
        <v>ADMINISTRAÇÃO</v>
      </c>
    </row>
    <row r="53">
      <c r="A53" s="21" t="s">
        <v>656</v>
      </c>
      <c r="B53" s="21" t="s">
        <v>657</v>
      </c>
      <c r="C53" s="21" t="s">
        <v>97</v>
      </c>
      <c r="D53" s="21">
        <v>4.0</v>
      </c>
      <c r="E53" s="21">
        <v>60.0</v>
      </c>
      <c r="F53" s="21">
        <v>15.0</v>
      </c>
      <c r="H53" s="22" t="s">
        <v>507</v>
      </c>
      <c r="I53" s="24">
        <f t="shared" si="1"/>
        <v>0</v>
      </c>
      <c r="J53" s="24" t="str">
        <f t="shared" si="2"/>
        <v/>
      </c>
      <c r="K53" s="24" t="str">
        <f t="shared" si="3"/>
        <v>ADMINISTRAÇÃO E GESTÃO AMBIENTAL - A</v>
      </c>
    </row>
    <row r="54">
      <c r="A54" s="21" t="s">
        <v>658</v>
      </c>
      <c r="B54" s="21" t="s">
        <v>659</v>
      </c>
      <c r="C54" s="21" t="s">
        <v>97</v>
      </c>
      <c r="D54" s="21">
        <v>4.0</v>
      </c>
      <c r="E54" s="21">
        <v>60.0</v>
      </c>
      <c r="F54" s="21">
        <v>6.0</v>
      </c>
      <c r="H54" s="22" t="s">
        <v>507</v>
      </c>
      <c r="I54" s="24">
        <f t="shared" si="1"/>
        <v>0</v>
      </c>
      <c r="J54" s="24" t="str">
        <f t="shared" si="2"/>
        <v/>
      </c>
      <c r="K54" s="24" t="str">
        <f t="shared" si="3"/>
        <v>AGROECOLOGIA E ALIMENTOS TRADICIONAIS</v>
      </c>
    </row>
    <row r="55">
      <c r="A55" s="21" t="s">
        <v>358</v>
      </c>
      <c r="B55" s="21" t="s">
        <v>360</v>
      </c>
      <c r="C55" s="21" t="s">
        <v>97</v>
      </c>
      <c r="D55" s="21">
        <v>4.0</v>
      </c>
      <c r="E55" s="21">
        <v>60.0</v>
      </c>
      <c r="F55" s="21">
        <v>6.0</v>
      </c>
      <c r="H55" s="22" t="s">
        <v>507</v>
      </c>
      <c r="I55" s="24">
        <f t="shared" si="1"/>
        <v>0</v>
      </c>
      <c r="J55" s="24" t="str">
        <f t="shared" si="2"/>
        <v/>
      </c>
      <c r="K55" s="24" t="str">
        <f t="shared" si="3"/>
        <v>ANÁLISES GLOBAIS E POLÍTICAS REGIONAIS</v>
      </c>
    </row>
    <row r="56">
      <c r="A56" s="21" t="s">
        <v>103</v>
      </c>
      <c r="B56" s="21" t="s">
        <v>104</v>
      </c>
      <c r="C56" s="21" t="s">
        <v>97</v>
      </c>
      <c r="D56" s="21">
        <v>4.0</v>
      </c>
      <c r="E56" s="21">
        <v>60.0</v>
      </c>
      <c r="F56" s="21">
        <v>0.0</v>
      </c>
      <c r="H56" s="22" t="s">
        <v>507</v>
      </c>
      <c r="I56" s="24">
        <f t="shared" si="1"/>
        <v>1</v>
      </c>
      <c r="J56" s="24" t="str">
        <f t="shared" si="2"/>
        <v>
 - DIL01101 - MODELOS MATEMÁTICOS ELEMENTARES</v>
      </c>
      <c r="K56" s="24" t="str">
        <f t="shared" si="3"/>
        <v>CÁLCULO DIFERENCIAL E INTEGRAL I</v>
      </c>
    </row>
    <row r="57">
      <c r="A57" s="21" t="s">
        <v>173</v>
      </c>
      <c r="B57" s="21" t="s">
        <v>174</v>
      </c>
      <c r="C57" s="21" t="s">
        <v>97</v>
      </c>
      <c r="D57" s="21">
        <v>4.0</v>
      </c>
      <c r="E57" s="21">
        <v>60.0</v>
      </c>
      <c r="F57" s="21">
        <v>0.0</v>
      </c>
      <c r="H57" s="22" t="s">
        <v>507</v>
      </c>
      <c r="I57" s="24">
        <f t="shared" si="1"/>
        <v>3</v>
      </c>
      <c r="J57" s="24" t="str">
        <f t="shared" si="2"/>
        <v>
 - DIL01111 - INTRODUÇÃO À ÁLGEBRA LINEAR
 - e DIL01113 - CÁLCULO DIFERENCIAL E INTEGRAL I
 - e DIL01114 - FÍSICA PARA ENGENHARIA I</v>
      </c>
      <c r="K57" s="24" t="str">
        <f t="shared" si="3"/>
        <v>CÁLCULO DIFERENCIAL E INTEGRAL II</v>
      </c>
    </row>
    <row r="58">
      <c r="A58" s="21" t="s">
        <v>230</v>
      </c>
      <c r="B58" s="21" t="s">
        <v>232</v>
      </c>
      <c r="C58" s="21" t="s">
        <v>97</v>
      </c>
      <c r="D58" s="21">
        <v>3.0</v>
      </c>
      <c r="E58" s="21">
        <v>45.0</v>
      </c>
      <c r="F58" s="21">
        <v>0.0</v>
      </c>
      <c r="H58" s="22" t="s">
        <v>507</v>
      </c>
      <c r="I58" s="24">
        <f t="shared" si="1"/>
        <v>1</v>
      </c>
      <c r="J58" s="24" t="str">
        <f t="shared" si="2"/>
        <v>
 - DIL01109 - FUNDAMENTOS DE QUÍMICA</v>
      </c>
      <c r="K58" s="24" t="str">
        <f t="shared" si="3"/>
        <v>CIÊNCIA E TECNOLOGIA DOS MATERIAIS</v>
      </c>
    </row>
    <row r="59">
      <c r="A59" s="21" t="s">
        <v>363</v>
      </c>
      <c r="B59" s="21" t="s">
        <v>364</v>
      </c>
      <c r="C59" s="21" t="s">
        <v>97</v>
      </c>
      <c r="D59" s="21">
        <v>4.0</v>
      </c>
      <c r="E59" s="21">
        <v>60.0</v>
      </c>
      <c r="F59" s="21">
        <v>0.0</v>
      </c>
      <c r="H59" s="22" t="s">
        <v>507</v>
      </c>
      <c r="I59" s="24">
        <f t="shared" si="1"/>
        <v>0</v>
      </c>
      <c r="J59" s="24" t="str">
        <f t="shared" si="2"/>
        <v/>
      </c>
      <c r="K59" s="24" t="str">
        <f t="shared" si="3"/>
        <v>CIÊNCIA, TECNOLOGIA E SOCIEDADE</v>
      </c>
    </row>
    <row r="60">
      <c r="A60" s="21" t="s">
        <v>367</v>
      </c>
      <c r="B60" s="21" t="s">
        <v>660</v>
      </c>
      <c r="C60" s="21" t="s">
        <v>97</v>
      </c>
      <c r="D60" s="21">
        <v>4.0</v>
      </c>
      <c r="E60" s="21">
        <v>60.0</v>
      </c>
      <c r="F60" s="21">
        <v>8.0</v>
      </c>
      <c r="H60" s="22" t="s">
        <v>507</v>
      </c>
      <c r="I60" s="24">
        <f t="shared" si="1"/>
        <v>0</v>
      </c>
      <c r="J60" s="24" t="str">
        <f t="shared" si="2"/>
        <v/>
      </c>
      <c r="K60" s="24" t="str">
        <f t="shared" si="3"/>
        <v>CIÊNCIAS DO AMBIENTE: ENERGIA E MEIO AMBIENTE</v>
      </c>
    </row>
    <row r="61">
      <c r="A61" s="21" t="s">
        <v>236</v>
      </c>
      <c r="B61" s="21" t="s">
        <v>661</v>
      </c>
      <c r="C61" s="21" t="s">
        <v>97</v>
      </c>
      <c r="D61" s="21">
        <v>4.0</v>
      </c>
      <c r="E61" s="21">
        <v>60.0</v>
      </c>
      <c r="F61" s="21">
        <v>0.0</v>
      </c>
      <c r="H61" s="22" t="s">
        <v>507</v>
      </c>
      <c r="I61" s="24">
        <f t="shared" si="1"/>
        <v>0</v>
      </c>
      <c r="J61" s="24" t="str">
        <f t="shared" si="2"/>
        <v/>
      </c>
      <c r="K61" s="24" t="str">
        <f t="shared" si="3"/>
        <v>CIRCUITOS ELÉTRICOS I</v>
      </c>
    </row>
    <row r="62">
      <c r="A62" s="21" t="s">
        <v>297</v>
      </c>
      <c r="B62" s="21" t="s">
        <v>662</v>
      </c>
      <c r="C62" s="21" t="s">
        <v>97</v>
      </c>
      <c r="D62" s="21">
        <v>4.0</v>
      </c>
      <c r="E62" s="21">
        <v>60.0</v>
      </c>
      <c r="F62" s="21">
        <v>6.0</v>
      </c>
      <c r="H62" s="22" t="s">
        <v>507</v>
      </c>
      <c r="I62" s="24">
        <f t="shared" si="1"/>
        <v>0</v>
      </c>
      <c r="J62" s="24" t="str">
        <f t="shared" si="2"/>
        <v/>
      </c>
      <c r="K62" s="24" t="str">
        <f t="shared" si="3"/>
        <v>CIRCUITOS ELÉTRICOS II</v>
      </c>
    </row>
    <row r="63">
      <c r="A63" s="21" t="s">
        <v>372</v>
      </c>
      <c r="B63" s="21" t="s">
        <v>373</v>
      </c>
      <c r="C63" s="21" t="s">
        <v>97</v>
      </c>
      <c r="D63" s="21">
        <v>4.0</v>
      </c>
      <c r="E63" s="21">
        <v>60.0</v>
      </c>
      <c r="F63" s="21">
        <v>0.0</v>
      </c>
      <c r="H63" s="22" t="s">
        <v>507</v>
      </c>
      <c r="I63" s="24">
        <f t="shared" si="1"/>
        <v>2</v>
      </c>
      <c r="J63" s="24" t="str">
        <f t="shared" si="2"/>
        <v>
 - DIL01125 - FUNDAMENTOS DO ELETROMAGNETISMO
 - e DIL01150 - CIRCUITOS ELÉTRICOS II</v>
      </c>
      <c r="K63" s="24" t="str">
        <f t="shared" si="3"/>
        <v>CONVERSÃO DE ENERGIA E MÁQUINAS ELÉTRICAS</v>
      </c>
    </row>
    <row r="64">
      <c r="A64" s="21" t="s">
        <v>663</v>
      </c>
      <c r="B64" s="21" t="s">
        <v>664</v>
      </c>
      <c r="C64" s="21" t="s">
        <v>97</v>
      </c>
      <c r="D64" s="21">
        <v>4.0</v>
      </c>
      <c r="E64" s="21">
        <v>60.0</v>
      </c>
      <c r="F64" s="21">
        <v>0.0</v>
      </c>
      <c r="H64" s="22" t="s">
        <v>507</v>
      </c>
      <c r="I64" s="24">
        <f t="shared" si="1"/>
        <v>0</v>
      </c>
      <c r="J64" s="24" t="str">
        <f t="shared" si="2"/>
        <v/>
      </c>
      <c r="K64" s="24" t="str">
        <f t="shared" si="3"/>
        <v>COOPERATIVISMO, ASSOCIATIVISMO E ECONOMIA SOLIDÁRIA</v>
      </c>
    </row>
    <row r="65">
      <c r="A65" s="21" t="s">
        <v>528</v>
      </c>
      <c r="B65" s="21" t="s">
        <v>665</v>
      </c>
      <c r="C65" s="21" t="s">
        <v>97</v>
      </c>
      <c r="D65" s="21">
        <v>4.0</v>
      </c>
      <c r="E65" s="21">
        <v>60.0</v>
      </c>
      <c r="F65" s="21">
        <v>0.0</v>
      </c>
      <c r="H65" s="22" t="s">
        <v>507</v>
      </c>
      <c r="I65" s="24">
        <f t="shared" si="1"/>
        <v>1</v>
      </c>
      <c r="J65" s="24" t="str">
        <f t="shared" si="2"/>
        <v>
 - DIL01182 - MATERIAIS DE CONSTRUÇÃO</v>
      </c>
      <c r="K65" s="24" t="str">
        <f t="shared" si="3"/>
        <v>DESEMPENHO DAS EDIFICAÇÕES I: ENERGIA</v>
      </c>
    </row>
    <row r="66">
      <c r="A66" s="21" t="s">
        <v>467</v>
      </c>
      <c r="B66" s="21" t="s">
        <v>468</v>
      </c>
      <c r="C66" s="21" t="s">
        <v>97</v>
      </c>
      <c r="D66" s="21">
        <v>3.0</v>
      </c>
      <c r="E66" s="21">
        <v>45.0</v>
      </c>
      <c r="F66" s="21">
        <v>0.0</v>
      </c>
      <c r="H66" s="22" t="s">
        <v>507</v>
      </c>
      <c r="I66" s="24">
        <f t="shared" si="1"/>
        <v>0</v>
      </c>
      <c r="J66" s="24" t="str">
        <f t="shared" si="2"/>
        <v/>
      </c>
      <c r="K66" s="24" t="str">
        <f t="shared" si="3"/>
        <v>DESENVOLVIMENTO E PROTOTIPAGEM DE SERVIÇOS</v>
      </c>
    </row>
    <row r="67">
      <c r="A67" s="21" t="s">
        <v>185</v>
      </c>
      <c r="B67" s="21" t="s">
        <v>666</v>
      </c>
      <c r="C67" s="21" t="s">
        <v>97</v>
      </c>
      <c r="D67" s="21">
        <v>4.0</v>
      </c>
      <c r="E67" s="21">
        <v>60.0</v>
      </c>
      <c r="F67" s="21">
        <v>6.0</v>
      </c>
      <c r="H67" s="22" t="s">
        <v>507</v>
      </c>
      <c r="I67" s="24">
        <f t="shared" si="1"/>
        <v>1</v>
      </c>
      <c r="J67" s="24" t="str">
        <f t="shared" si="2"/>
        <v>
 - DIL01101 - MODELOS MATEMÁTICOS ELEMENTARES</v>
      </c>
      <c r="K67" s="24" t="str">
        <f t="shared" si="3"/>
        <v>DESENVOLVIMENTO REGIONAL</v>
      </c>
    </row>
    <row r="68">
      <c r="A68" s="21" t="s">
        <v>667</v>
      </c>
      <c r="B68" s="21" t="s">
        <v>668</v>
      </c>
      <c r="C68" s="21" t="s">
        <v>97</v>
      </c>
      <c r="D68" s="21">
        <v>4.0</v>
      </c>
      <c r="E68" s="21">
        <v>60.0</v>
      </c>
      <c r="F68" s="21">
        <v>6.0</v>
      </c>
      <c r="H68" s="22" t="s">
        <v>507</v>
      </c>
      <c r="I68" s="24">
        <f t="shared" si="1"/>
        <v>0</v>
      </c>
      <c r="J68" s="24" t="str">
        <f t="shared" si="2"/>
        <v/>
      </c>
      <c r="K68" s="24" t="str">
        <f t="shared" si="3"/>
        <v>DESENVOLVIMENTO REGIONAL E ORDENAMENTO ESPACIAL</v>
      </c>
    </row>
    <row r="69">
      <c r="A69" s="21" t="s">
        <v>241</v>
      </c>
      <c r="B69" s="21" t="s">
        <v>243</v>
      </c>
      <c r="C69" s="21" t="s">
        <v>97</v>
      </c>
      <c r="D69" s="21">
        <v>4.0</v>
      </c>
      <c r="E69" s="21">
        <v>60.0</v>
      </c>
      <c r="F69" s="21">
        <v>9.0</v>
      </c>
      <c r="H69" s="22" t="s">
        <v>507</v>
      </c>
      <c r="I69" s="24">
        <f t="shared" si="1"/>
        <v>0</v>
      </c>
      <c r="J69" s="24" t="str">
        <f t="shared" si="2"/>
        <v/>
      </c>
      <c r="K69" s="24" t="str">
        <f t="shared" si="3"/>
        <v>DESENVOLVIMENTO RURAL</v>
      </c>
    </row>
    <row r="70">
      <c r="A70" s="21" t="s">
        <v>669</v>
      </c>
      <c r="B70" s="21" t="s">
        <v>670</v>
      </c>
      <c r="C70" s="21" t="s">
        <v>97</v>
      </c>
      <c r="D70" s="21">
        <v>4.0</v>
      </c>
      <c r="E70" s="21">
        <v>60.0</v>
      </c>
      <c r="F70" s="21">
        <v>6.0</v>
      </c>
      <c r="H70" s="22" t="s">
        <v>507</v>
      </c>
      <c r="I70" s="24">
        <f t="shared" si="1"/>
        <v>0</v>
      </c>
      <c r="J70" s="24" t="str">
        <f t="shared" si="2"/>
        <v/>
      </c>
      <c r="K70" s="24" t="str">
        <f t="shared" si="3"/>
        <v>DINÂMICA DO AMBIENTE COSTEIRO</v>
      </c>
    </row>
    <row r="71">
      <c r="A71" s="21" t="s">
        <v>303</v>
      </c>
      <c r="B71" s="21" t="s">
        <v>305</v>
      </c>
      <c r="C71" s="21" t="s">
        <v>97</v>
      </c>
      <c r="D71" s="21">
        <v>4.0</v>
      </c>
      <c r="E71" s="21">
        <v>60.0</v>
      </c>
      <c r="F71" s="21">
        <v>6.0</v>
      </c>
      <c r="H71" s="22" t="s">
        <v>507</v>
      </c>
      <c r="I71" s="24">
        <f t="shared" si="1"/>
        <v>0</v>
      </c>
      <c r="J71" s="24" t="str">
        <f t="shared" si="2"/>
        <v/>
      </c>
      <c r="K71" s="24" t="str">
        <f t="shared" si="3"/>
        <v>ECONOMIA E AMBIENTE</v>
      </c>
    </row>
    <row r="72">
      <c r="A72" s="21" t="s">
        <v>246</v>
      </c>
      <c r="B72" s="21" t="s">
        <v>247</v>
      </c>
      <c r="C72" s="21" t="s">
        <v>97</v>
      </c>
      <c r="D72" s="21">
        <v>4.0</v>
      </c>
      <c r="E72" s="21">
        <v>60.0</v>
      </c>
      <c r="F72" s="21">
        <v>6.0</v>
      </c>
      <c r="H72" s="22" t="s">
        <v>507</v>
      </c>
      <c r="I72" s="24">
        <f t="shared" si="1"/>
        <v>0</v>
      </c>
      <c r="J72" s="24" t="str">
        <f t="shared" si="2"/>
        <v/>
      </c>
      <c r="K72" s="24" t="str">
        <f t="shared" si="3"/>
        <v>ECONOMIA POLÍTICA DO DESENVOLVIMENTO NO BRASIL</v>
      </c>
    </row>
    <row r="73">
      <c r="A73" s="21" t="s">
        <v>671</v>
      </c>
      <c r="B73" s="21" t="s">
        <v>672</v>
      </c>
      <c r="C73" s="21" t="s">
        <v>97</v>
      </c>
      <c r="D73" s="21">
        <v>4.0</v>
      </c>
      <c r="E73" s="21">
        <v>60.0</v>
      </c>
      <c r="F73" s="21">
        <v>45.0</v>
      </c>
      <c r="H73" s="22" t="s">
        <v>507</v>
      </c>
      <c r="I73" s="24">
        <f t="shared" si="1"/>
        <v>0</v>
      </c>
      <c r="J73" s="24" t="str">
        <f t="shared" si="2"/>
        <v/>
      </c>
      <c r="K73" s="24" t="str">
        <f t="shared" si="3"/>
        <v>EDUCAÇÃO AMBIENTAL - CBM</v>
      </c>
    </row>
    <row r="74">
      <c r="A74" s="21" t="s">
        <v>673</v>
      </c>
      <c r="B74" s="21" t="s">
        <v>674</v>
      </c>
      <c r="C74" s="21" t="s">
        <v>97</v>
      </c>
      <c r="D74" s="21">
        <v>4.0</v>
      </c>
      <c r="E74" s="21">
        <v>60.0</v>
      </c>
      <c r="F74" s="21">
        <v>4.0</v>
      </c>
      <c r="H74" s="22" t="s">
        <v>507</v>
      </c>
      <c r="I74" s="24">
        <f t="shared" si="1"/>
        <v>0</v>
      </c>
      <c r="J74" s="24" t="str">
        <f t="shared" si="2"/>
        <v/>
      </c>
      <c r="K74" s="24" t="str">
        <f t="shared" si="3"/>
        <v>ELEMENTOS DE GEOLOGIA COSTEIRA E MARINHA</v>
      </c>
    </row>
    <row r="75">
      <c r="A75" s="21" t="s">
        <v>377</v>
      </c>
      <c r="B75" s="21" t="s">
        <v>675</v>
      </c>
      <c r="C75" s="21" t="s">
        <v>97</v>
      </c>
      <c r="D75" s="21">
        <v>4.0</v>
      </c>
      <c r="E75" s="21">
        <v>60.0</v>
      </c>
      <c r="F75" s="21">
        <v>0.0</v>
      </c>
      <c r="H75" s="22" t="s">
        <v>507</v>
      </c>
      <c r="I75" s="24">
        <f t="shared" si="1"/>
        <v>1</v>
      </c>
      <c r="J75" s="24" t="str">
        <f t="shared" si="2"/>
        <v>
 - DIL01122 - CÁLCULO DIFERENCIAL E INTEGRAL II</v>
      </c>
      <c r="K75" s="24" t="str">
        <f t="shared" si="3"/>
        <v>ENGENHARIA ECONÔMICA</v>
      </c>
    </row>
    <row r="76">
      <c r="A76" s="21" t="s">
        <v>252</v>
      </c>
      <c r="B76" s="21" t="s">
        <v>254</v>
      </c>
      <c r="C76" s="21" t="s">
        <v>97</v>
      </c>
      <c r="D76" s="21">
        <v>4.0</v>
      </c>
      <c r="E76" s="21">
        <v>60.0</v>
      </c>
      <c r="F76" s="21">
        <v>0.0</v>
      </c>
      <c r="H76" s="22" t="s">
        <v>507</v>
      </c>
      <c r="I76" s="24">
        <f t="shared" si="1"/>
        <v>1</v>
      </c>
      <c r="J76" s="24" t="str">
        <f t="shared" si="2"/>
        <v>
 - DIL01122 - CÁLCULO DIFERENCIAL E INTEGRAL II</v>
      </c>
      <c r="K76" s="24" t="str">
        <f t="shared" si="3"/>
        <v>EQUAÇÕES DIFERENCIAIS</v>
      </c>
    </row>
    <row r="77">
      <c r="A77" s="21" t="s">
        <v>308</v>
      </c>
      <c r="B77" s="21" t="s">
        <v>309</v>
      </c>
      <c r="C77" s="21" t="s">
        <v>97</v>
      </c>
      <c r="D77" s="21">
        <v>4.0</v>
      </c>
      <c r="E77" s="21">
        <v>60.0</v>
      </c>
      <c r="F77" s="21">
        <v>6.0</v>
      </c>
      <c r="I77" s="24">
        <f t="shared" si="1"/>
        <v>0</v>
      </c>
      <c r="J77" s="24" t="str">
        <f t="shared" si="2"/>
        <v/>
      </c>
      <c r="K77" s="24" t="str">
        <f t="shared" si="3"/>
        <v>ESCALAS DE ANÁLISE REGIONAL E TERRITORIAL</v>
      </c>
    </row>
    <row r="78">
      <c r="A78" s="21" t="s">
        <v>474</v>
      </c>
      <c r="B78" s="21" t="s">
        <v>676</v>
      </c>
      <c r="C78" s="21" t="s">
        <v>97</v>
      </c>
      <c r="D78" s="21">
        <v>4.0</v>
      </c>
      <c r="E78" s="21">
        <v>60.0</v>
      </c>
      <c r="F78" s="21">
        <v>0.0</v>
      </c>
      <c r="I78" s="24">
        <f t="shared" si="1"/>
        <v>1</v>
      </c>
      <c r="J78" s="24" t="str">
        <f t="shared" si="2"/>
        <v>
 - DIL01184 - DESENVOLVIMENTO E PROTOTIPAGEM DE SERVIÇOS</v>
      </c>
      <c r="K78" s="24" t="str">
        <f t="shared" si="3"/>
        <v>ESTRATÉGIA EM SERVIÇOS</v>
      </c>
    </row>
    <row r="79">
      <c r="A79" s="21" t="s">
        <v>270</v>
      </c>
      <c r="B79" s="21" t="s">
        <v>272</v>
      </c>
      <c r="C79" s="21" t="s">
        <v>97</v>
      </c>
      <c r="D79" s="21">
        <v>3.0</v>
      </c>
      <c r="E79" s="21">
        <v>45.0</v>
      </c>
      <c r="F79" s="21">
        <v>0.0</v>
      </c>
      <c r="I79" s="24">
        <f t="shared" si="1"/>
        <v>0</v>
      </c>
      <c r="J79" s="24" t="str">
        <f t="shared" si="2"/>
        <v/>
      </c>
      <c r="K79" s="24" t="str">
        <f t="shared" si="3"/>
        <v>ESTUDOS ESTRATÉGICOS DO SETOR DE SERVIÇOS</v>
      </c>
    </row>
    <row r="80">
      <c r="A80" s="21" t="s">
        <v>677</v>
      </c>
      <c r="B80" s="21" t="s">
        <v>678</v>
      </c>
      <c r="C80" s="21" t="s">
        <v>97</v>
      </c>
      <c r="D80" s="21">
        <v>2.0</v>
      </c>
      <c r="E80" s="21">
        <v>30.0</v>
      </c>
      <c r="F80" s="21">
        <v>0.0</v>
      </c>
      <c r="I80" s="24">
        <f t="shared" si="1"/>
        <v>0</v>
      </c>
      <c r="J80" s="24" t="str">
        <f t="shared" si="2"/>
        <v/>
      </c>
      <c r="K80" s="24" t="str">
        <f t="shared" si="3"/>
        <v>ÉTICA E MEIO AMBIENTE</v>
      </c>
    </row>
    <row r="81">
      <c r="A81" s="21" t="s">
        <v>679</v>
      </c>
      <c r="B81" s="21" t="s">
        <v>680</v>
      </c>
      <c r="C81" s="21" t="s">
        <v>97</v>
      </c>
      <c r="D81" s="21">
        <v>4.0</v>
      </c>
      <c r="E81" s="21">
        <v>60.0</v>
      </c>
      <c r="F81" s="21">
        <v>12.0</v>
      </c>
      <c r="I81" s="24">
        <f t="shared" si="1"/>
        <v>0</v>
      </c>
      <c r="J81" s="24" t="str">
        <f t="shared" si="2"/>
        <v/>
      </c>
      <c r="K81" s="24" t="str">
        <f t="shared" si="3"/>
        <v>ETNODESENVOLVIMENTO E MEDIAÇÕES POLÍTICO-CULTURAIS</v>
      </c>
    </row>
    <row r="82">
      <c r="A82" s="21" t="s">
        <v>192</v>
      </c>
      <c r="B82" s="21" t="s">
        <v>193</v>
      </c>
      <c r="C82" s="21" t="s">
        <v>97</v>
      </c>
      <c r="D82" s="21">
        <v>4.0</v>
      </c>
      <c r="E82" s="21">
        <v>60.0</v>
      </c>
      <c r="F82" s="21">
        <v>0.0</v>
      </c>
      <c r="I82" s="24">
        <f t="shared" si="1"/>
        <v>0</v>
      </c>
      <c r="J82" s="24" t="str">
        <f t="shared" si="2"/>
        <v/>
      </c>
      <c r="K82" s="24" t="str">
        <f t="shared" si="3"/>
        <v>EXPRESSÃO GRÁFICA</v>
      </c>
    </row>
    <row r="83">
      <c r="A83" s="21" t="s">
        <v>384</v>
      </c>
      <c r="B83" s="21" t="s">
        <v>681</v>
      </c>
      <c r="C83" s="21" t="s">
        <v>97</v>
      </c>
      <c r="D83" s="21">
        <v>4.0</v>
      </c>
      <c r="E83" s="21">
        <v>60.0</v>
      </c>
      <c r="F83" s="21">
        <v>0.0</v>
      </c>
      <c r="I83" s="24">
        <f t="shared" si="1"/>
        <v>2</v>
      </c>
      <c r="J83" s="24" t="str">
        <f t="shared" si="2"/>
        <v>
 - DIL01135 - EQUAÇÕES DIFERENCIAIS
 - e DIL01136 - FÍSICA PARA ENGENHARIA III</v>
      </c>
      <c r="K83" s="24" t="str">
        <f t="shared" si="3"/>
        <v>FENÔMENOS DE TRANSPORTE A</v>
      </c>
    </row>
    <row r="84">
      <c r="A84" s="21" t="s">
        <v>112</v>
      </c>
      <c r="B84" s="21" t="s">
        <v>113</v>
      </c>
      <c r="C84" s="21" t="s">
        <v>97</v>
      </c>
      <c r="D84" s="21">
        <v>4.0</v>
      </c>
      <c r="E84" s="21">
        <v>60.0</v>
      </c>
      <c r="F84" s="21">
        <v>0.0</v>
      </c>
      <c r="I84" s="24">
        <f t="shared" si="1"/>
        <v>1</v>
      </c>
      <c r="J84" s="24" t="str">
        <f t="shared" si="2"/>
        <v>
 - DIL01101 - MODELOS MATEMÁTICOS ELEMENTARES</v>
      </c>
      <c r="K84" s="24" t="str">
        <f t="shared" si="3"/>
        <v>FÍSICA PARA ENGENHARIA I</v>
      </c>
    </row>
    <row r="85">
      <c r="A85" s="21" t="s">
        <v>198</v>
      </c>
      <c r="B85" s="21" t="s">
        <v>199</v>
      </c>
      <c r="C85" s="21" t="s">
        <v>97</v>
      </c>
      <c r="D85" s="21">
        <v>4.0</v>
      </c>
      <c r="E85" s="21">
        <v>60.0</v>
      </c>
      <c r="F85" s="21">
        <v>0.0</v>
      </c>
      <c r="I85" s="24">
        <f t="shared" si="1"/>
        <v>3</v>
      </c>
      <c r="J85" s="24" t="str">
        <f t="shared" si="2"/>
        <v>
 - DIL01111 - INTRODUÇÃO À ÁLGEBRA LINEAR
 - e DIL01113 - CÁLCULO DIFERENCIAL E INTEGRAL I
 - e DIL01114 - FÍSICA PARA ENGENHARIA I</v>
      </c>
      <c r="K85" s="24" t="str">
        <f t="shared" si="3"/>
        <v>FÍSICA PARA ENGENHARIA II</v>
      </c>
    </row>
    <row r="86">
      <c r="A86" s="21" t="s">
        <v>313</v>
      </c>
      <c r="B86" s="21" t="s">
        <v>315</v>
      </c>
      <c r="C86" s="21" t="s">
        <v>97</v>
      </c>
      <c r="D86" s="21">
        <v>4.0</v>
      </c>
      <c r="E86" s="21">
        <v>60.0</v>
      </c>
      <c r="F86" s="21">
        <v>0.0</v>
      </c>
      <c r="I86" s="24">
        <f t="shared" si="1"/>
        <v>2</v>
      </c>
      <c r="J86" s="24" t="str">
        <f t="shared" si="2"/>
        <v>
 - DIL01122 - CÁLCULO DIFERENCIAL E INTEGRAL II
 - e DIL01123 - FÍSICA PARA ENGENHARIA II</v>
      </c>
      <c r="K86" s="24" t="str">
        <f t="shared" si="3"/>
        <v>FÍSICA PARA ENGENHARIA III</v>
      </c>
    </row>
    <row r="87">
      <c r="A87" s="21" t="s">
        <v>140</v>
      </c>
      <c r="B87" s="21" t="s">
        <v>141</v>
      </c>
      <c r="C87" s="21" t="s">
        <v>97</v>
      </c>
      <c r="D87" s="21">
        <v>2.0</v>
      </c>
      <c r="E87" s="21">
        <v>30.0</v>
      </c>
      <c r="F87" s="21">
        <v>0.0</v>
      </c>
      <c r="I87" s="24">
        <f t="shared" si="1"/>
        <v>0</v>
      </c>
      <c r="J87" s="24" t="str">
        <f t="shared" si="2"/>
        <v/>
      </c>
      <c r="K87" s="24" t="str">
        <f t="shared" si="3"/>
        <v>FUNDAMENTOS DE ECOLOGIA - CBM</v>
      </c>
    </row>
    <row r="88">
      <c r="A88" s="21" t="s">
        <v>147</v>
      </c>
      <c r="B88" s="21" t="s">
        <v>149</v>
      </c>
      <c r="C88" s="21" t="s">
        <v>97</v>
      </c>
      <c r="D88" s="21">
        <v>4.0</v>
      </c>
      <c r="E88" s="21">
        <v>60.0</v>
      </c>
      <c r="F88" s="21">
        <v>0.0</v>
      </c>
      <c r="I88" s="24">
        <f t="shared" si="1"/>
        <v>0</v>
      </c>
      <c r="J88" s="24" t="str">
        <f t="shared" si="2"/>
        <v/>
      </c>
      <c r="K88" s="24" t="str">
        <f t="shared" si="3"/>
        <v>FUNDAMENTOS DE FÍSICA</v>
      </c>
    </row>
    <row r="89">
      <c r="A89" s="21" t="s">
        <v>117</v>
      </c>
      <c r="B89" s="21" t="s">
        <v>118</v>
      </c>
      <c r="C89" s="21" t="s">
        <v>97</v>
      </c>
      <c r="D89" s="21">
        <v>2.0</v>
      </c>
      <c r="E89" s="21">
        <v>30.0</v>
      </c>
      <c r="F89" s="21">
        <v>0.0</v>
      </c>
      <c r="I89" s="24">
        <f t="shared" si="1"/>
        <v>0</v>
      </c>
      <c r="J89" s="24" t="str">
        <f t="shared" si="2"/>
        <v/>
      </c>
      <c r="K89" s="24" t="str">
        <f t="shared" si="3"/>
        <v>FUNDAMENTOS DE GESTÃO DE RECURSOS ENERGÉTICOS</v>
      </c>
    </row>
    <row r="90">
      <c r="A90" s="21" t="s">
        <v>203</v>
      </c>
      <c r="B90" s="21" t="s">
        <v>204</v>
      </c>
      <c r="C90" s="21" t="s">
        <v>97</v>
      </c>
      <c r="D90" s="21">
        <v>4.0</v>
      </c>
      <c r="E90" s="21">
        <v>60.0</v>
      </c>
      <c r="F90" s="21">
        <v>0.0</v>
      </c>
      <c r="I90" s="24">
        <f t="shared" si="1"/>
        <v>0</v>
      </c>
      <c r="J90" s="24" t="str">
        <f t="shared" si="2"/>
        <v/>
      </c>
      <c r="K90" s="24" t="str">
        <f t="shared" si="3"/>
        <v>FUNDAMENTOS DE QUÍMICA</v>
      </c>
    </row>
    <row r="91">
      <c r="A91" s="21" t="s">
        <v>257</v>
      </c>
      <c r="B91" s="21" t="s">
        <v>259</v>
      </c>
      <c r="C91" s="21" t="s">
        <v>97</v>
      </c>
      <c r="D91" s="21">
        <v>4.0</v>
      </c>
      <c r="E91" s="21">
        <v>60.0</v>
      </c>
      <c r="F91" s="21">
        <v>0.0</v>
      </c>
      <c r="I91" s="24">
        <f t="shared" si="1"/>
        <v>2</v>
      </c>
      <c r="J91" s="24" t="str">
        <f t="shared" si="2"/>
        <v>
 - DIL01111 - INTRODUÇÃO À ÁLGEBRA LINEAR
 - e DIL01113 - CÁLCULO DIFERENCIAL E INTEGRAL I</v>
      </c>
      <c r="K91" s="24" t="str">
        <f t="shared" si="3"/>
        <v>FUNDAMENTOS DO ELETROMAGNETISMO</v>
      </c>
    </row>
    <row r="92">
      <c r="A92" s="21" t="s">
        <v>682</v>
      </c>
      <c r="B92" s="21" t="s">
        <v>683</v>
      </c>
      <c r="C92" s="21" t="s">
        <v>97</v>
      </c>
      <c r="D92" s="21">
        <v>4.0</v>
      </c>
      <c r="E92" s="21">
        <v>60.0</v>
      </c>
      <c r="F92" s="21">
        <v>0.0</v>
      </c>
      <c r="I92" s="24">
        <f t="shared" si="1"/>
        <v>0</v>
      </c>
      <c r="J92" s="24" t="str">
        <f t="shared" si="2"/>
        <v/>
      </c>
      <c r="K92" s="24" t="str">
        <f t="shared" si="3"/>
        <v>GEOGRAFIA, GÊNERO E SEXUALIDADES</v>
      </c>
    </row>
    <row r="93">
      <c r="A93" s="21" t="s">
        <v>684</v>
      </c>
      <c r="B93" s="21" t="s">
        <v>685</v>
      </c>
      <c r="C93" s="21" t="s">
        <v>97</v>
      </c>
      <c r="D93" s="21">
        <v>3.0</v>
      </c>
      <c r="E93" s="21">
        <v>45.0</v>
      </c>
      <c r="F93" s="21">
        <v>0.0</v>
      </c>
      <c r="I93" s="24">
        <f t="shared" si="1"/>
        <v>0</v>
      </c>
      <c r="J93" s="24" t="str">
        <f t="shared" si="2"/>
        <v/>
      </c>
      <c r="K93" s="24" t="str">
        <f t="shared" si="3"/>
        <v>GERENCIAMENTO DE PROJETOS</v>
      </c>
    </row>
    <row r="94">
      <c r="A94" s="21" t="s">
        <v>686</v>
      </c>
      <c r="B94" s="21" t="s">
        <v>687</v>
      </c>
      <c r="C94" s="21" t="s">
        <v>97</v>
      </c>
      <c r="D94" s="21">
        <v>4.0</v>
      </c>
      <c r="E94" s="21">
        <v>60.0</v>
      </c>
      <c r="F94" s="21">
        <v>6.0</v>
      </c>
      <c r="I94" s="24">
        <f t="shared" si="1"/>
        <v>0</v>
      </c>
      <c r="J94" s="24" t="str">
        <f t="shared" si="2"/>
        <v/>
      </c>
      <c r="K94" s="24" t="str">
        <f t="shared" si="3"/>
        <v>GESTÃO AMBIENTAL - QUESTÃO AMBIENTAL: ESTRATÉGIAS, PROJETOS E POLÍTICAS</v>
      </c>
    </row>
    <row r="95">
      <c r="A95" s="21" t="s">
        <v>688</v>
      </c>
      <c r="B95" s="21" t="s">
        <v>689</v>
      </c>
      <c r="C95" s="21" t="s">
        <v>97</v>
      </c>
      <c r="D95" s="21">
        <v>3.0</v>
      </c>
      <c r="E95" s="21">
        <v>45.0</v>
      </c>
      <c r="F95" s="21">
        <v>0.0</v>
      </c>
      <c r="I95" s="24">
        <f t="shared" si="1"/>
        <v>0</v>
      </c>
      <c r="J95" s="24" t="str">
        <f t="shared" si="2"/>
        <v/>
      </c>
      <c r="K95" s="24" t="str">
        <f t="shared" si="3"/>
        <v>GESTÃO DE BACIAS HIDROGRÁFICAS</v>
      </c>
    </row>
    <row r="96">
      <c r="A96" s="21" t="s">
        <v>390</v>
      </c>
      <c r="B96" s="21" t="s">
        <v>391</v>
      </c>
      <c r="C96" s="21" t="s">
        <v>97</v>
      </c>
      <c r="D96" s="21">
        <v>4.0</v>
      </c>
      <c r="E96" s="21">
        <v>60.0</v>
      </c>
      <c r="F96" s="21">
        <v>12.0</v>
      </c>
      <c r="I96" s="24">
        <f t="shared" si="1"/>
        <v>0</v>
      </c>
      <c r="J96" s="24" t="str">
        <f t="shared" si="2"/>
        <v/>
      </c>
      <c r="K96" s="24" t="str">
        <f t="shared" si="3"/>
        <v>GESTÃO E PLANEJAMENTO PARA O DESENVOLVIMENTO REGIONAL</v>
      </c>
    </row>
    <row r="97">
      <c r="A97" s="21" t="s">
        <v>690</v>
      </c>
      <c r="B97" s="21" t="s">
        <v>691</v>
      </c>
      <c r="C97" s="21" t="s">
        <v>97</v>
      </c>
      <c r="D97" s="21">
        <v>4.0</v>
      </c>
      <c r="E97" s="21">
        <v>60.0</v>
      </c>
      <c r="F97" s="21">
        <v>6.0</v>
      </c>
      <c r="I97" s="24">
        <f t="shared" si="1"/>
        <v>0</v>
      </c>
      <c r="J97" s="24" t="str">
        <f t="shared" si="2"/>
        <v/>
      </c>
      <c r="K97" s="24" t="str">
        <f t="shared" si="3"/>
        <v>GOVERNANÇA, CIDADANIA E PARTICIPAÇÃO POPULAR</v>
      </c>
    </row>
    <row r="98">
      <c r="A98" s="21" t="s">
        <v>692</v>
      </c>
      <c r="B98" s="21" t="s">
        <v>693</v>
      </c>
      <c r="C98" s="21" t="s">
        <v>97</v>
      </c>
      <c r="D98" s="21">
        <v>2.0</v>
      </c>
      <c r="E98" s="21">
        <v>30.0</v>
      </c>
      <c r="F98" s="21">
        <v>4.0</v>
      </c>
      <c r="I98" s="24">
        <f t="shared" si="1"/>
        <v>0</v>
      </c>
      <c r="J98" s="24" t="str">
        <f t="shared" si="2"/>
        <v/>
      </c>
      <c r="K98" s="24" t="str">
        <f t="shared" si="3"/>
        <v>HISTÓRIA DA CIÊNCIA - CBM</v>
      </c>
    </row>
    <row r="99">
      <c r="A99" s="21" t="s">
        <v>694</v>
      </c>
      <c r="B99" s="21" t="s">
        <v>695</v>
      </c>
      <c r="C99" s="21" t="s">
        <v>97</v>
      </c>
      <c r="D99" s="21">
        <v>3.0</v>
      </c>
      <c r="E99" s="21">
        <v>45.0</v>
      </c>
      <c r="F99" s="21">
        <v>0.0</v>
      </c>
      <c r="I99" s="24">
        <f t="shared" si="1"/>
        <v>0</v>
      </c>
      <c r="J99" s="24" t="str">
        <f t="shared" si="2"/>
        <v/>
      </c>
      <c r="K99" s="24" t="str">
        <f t="shared" si="3"/>
        <v>HISTÓRIA E CULTURA DE COMUNIDADES COSTEIRAS</v>
      </c>
    </row>
    <row r="100">
      <c r="A100" s="21" t="s">
        <v>126</v>
      </c>
      <c r="B100" s="21" t="s">
        <v>127</v>
      </c>
      <c r="C100" s="21" t="s">
        <v>97</v>
      </c>
      <c r="D100" s="21">
        <v>4.0</v>
      </c>
      <c r="E100" s="21">
        <v>60.0</v>
      </c>
      <c r="F100" s="21">
        <v>0.0</v>
      </c>
      <c r="I100" s="24">
        <f t="shared" si="1"/>
        <v>1</v>
      </c>
      <c r="J100" s="24" t="str">
        <f t="shared" si="2"/>
        <v>
 - DIL01101 - MODELOS MATEMÁTICOS ELEMENTARES</v>
      </c>
      <c r="K100" s="24" t="str">
        <f t="shared" si="3"/>
        <v>INTRODUÇÃO À ÁLGEBRA LINEAR</v>
      </c>
    </row>
    <row r="101">
      <c r="A101" s="21" t="s">
        <v>262</v>
      </c>
      <c r="B101" s="21" t="s">
        <v>411</v>
      </c>
      <c r="C101" s="21" t="s">
        <v>97</v>
      </c>
      <c r="D101" s="21">
        <v>4.0</v>
      </c>
      <c r="E101" s="21">
        <v>60.0</v>
      </c>
      <c r="F101" s="21">
        <v>0.0</v>
      </c>
      <c r="I101" s="24">
        <f t="shared" si="1"/>
        <v>1</v>
      </c>
      <c r="J101" s="24" t="str">
        <f t="shared" si="2"/>
        <v>
 - DIL01109 - FUNDAMENTOS DE QUÍMICA</v>
      </c>
      <c r="K101" s="24" t="str">
        <f t="shared" si="3"/>
        <v>INTRODUÇÃO À TERMODINÂMICA E ENERGIAS RENOVÁVEIS</v>
      </c>
    </row>
    <row r="102">
      <c r="A102" s="21" t="s">
        <v>135</v>
      </c>
      <c r="B102" s="21" t="s">
        <v>137</v>
      </c>
      <c r="C102" s="21" t="s">
        <v>97</v>
      </c>
      <c r="D102" s="21">
        <v>4.0</v>
      </c>
      <c r="E102" s="21">
        <v>60.0</v>
      </c>
      <c r="F102" s="21">
        <v>6.0</v>
      </c>
      <c r="I102" s="24">
        <f t="shared" si="1"/>
        <v>0</v>
      </c>
      <c r="J102" s="24" t="str">
        <f t="shared" si="2"/>
        <v/>
      </c>
      <c r="K102" s="24" t="str">
        <f t="shared" si="3"/>
        <v>INTRODUÇÃO AO PENSAMENTO SOCIAL</v>
      </c>
    </row>
    <row r="103">
      <c r="A103" s="21" t="s">
        <v>267</v>
      </c>
      <c r="B103" s="21" t="s">
        <v>696</v>
      </c>
      <c r="C103" s="21" t="s">
        <v>97</v>
      </c>
      <c r="D103" s="21">
        <v>2.0</v>
      </c>
      <c r="E103" s="21">
        <v>30.0</v>
      </c>
      <c r="F103" s="21">
        <v>0.0</v>
      </c>
      <c r="I103" s="24">
        <f t="shared" si="1"/>
        <v>0</v>
      </c>
      <c r="J103" s="24" t="str">
        <f t="shared" si="2"/>
        <v/>
      </c>
      <c r="K103" s="24" t="str">
        <f t="shared" si="3"/>
        <v>LABORATÓRIO DE CIRCUITOS ELÉTRICOS I</v>
      </c>
    </row>
    <row r="104">
      <c r="A104" s="21" t="s">
        <v>318</v>
      </c>
      <c r="B104" s="21" t="s">
        <v>320</v>
      </c>
      <c r="C104" s="21" t="s">
        <v>97</v>
      </c>
      <c r="D104" s="21">
        <v>2.0</v>
      </c>
      <c r="E104" s="21">
        <v>30.0</v>
      </c>
      <c r="F104" s="21">
        <v>3.0</v>
      </c>
      <c r="I104" s="24">
        <f t="shared" si="1"/>
        <v>3</v>
      </c>
      <c r="J104" s="24" t="str">
        <f t="shared" si="2"/>
        <v>
 - DIL01135 - EQUAÇÕES DIFERENCIAIS
 - e DIL01138 - CIRCUITOS ELÉTRICOS I
 - e DIL01139 - LABORATÓRIO DE CIRCUITOS ELÉTRICOS I</v>
      </c>
      <c r="K104" s="24" t="str">
        <f t="shared" si="3"/>
        <v>LABORATÓRIO DE CIRCUITOS ELÉTRICOS II</v>
      </c>
    </row>
    <row r="105">
      <c r="A105" s="21" t="s">
        <v>397</v>
      </c>
      <c r="B105" s="21" t="s">
        <v>398</v>
      </c>
      <c r="C105" s="21" t="s">
        <v>97</v>
      </c>
      <c r="D105" s="21">
        <v>2.0</v>
      </c>
      <c r="E105" s="21">
        <v>30.0</v>
      </c>
      <c r="F105" s="21">
        <v>0.0</v>
      </c>
      <c r="I105" s="24">
        <f t="shared" si="1"/>
        <v>2</v>
      </c>
      <c r="J105" s="24" t="str">
        <f t="shared" si="2"/>
        <v>
 - DIL01125 - FUNDAMENTOS DO ELETROMAGNETISMO
 - e DIL01150 - CIRCUITOS ELÉTRICOS II</v>
      </c>
      <c r="K105" s="24" t="str">
        <f t="shared" si="3"/>
        <v>LABORATÓRIO DE CONVERSÃO DE ENERGIA E MÁQUINAS ELÉTRICAS</v>
      </c>
    </row>
    <row r="106">
      <c r="A106" s="21" t="s">
        <v>403</v>
      </c>
      <c r="B106" s="21" t="s">
        <v>697</v>
      </c>
      <c r="C106" s="21" t="s">
        <v>97</v>
      </c>
      <c r="D106" s="21">
        <v>2.0</v>
      </c>
      <c r="E106" s="21">
        <v>30.0</v>
      </c>
      <c r="F106" s="21">
        <v>5.0</v>
      </c>
      <c r="I106" s="24">
        <f t="shared" si="1"/>
        <v>2</v>
      </c>
      <c r="J106" s="24" t="str">
        <f t="shared" si="2"/>
        <v>
 - DIL01135 - EQUAÇÕES DIFERENCIAIS
 - e DIL01136 - FÍSICA PARA ENGENHARIA III</v>
      </c>
      <c r="K106" s="24" t="str">
        <f t="shared" si="3"/>
        <v>LABORATÓRIO DE FENÔMENOS DE TRANSPORTE - A</v>
      </c>
    </row>
    <row r="107">
      <c r="A107" s="21" t="s">
        <v>142</v>
      </c>
      <c r="B107" s="21" t="s">
        <v>144</v>
      </c>
      <c r="C107" s="21" t="s">
        <v>97</v>
      </c>
      <c r="D107" s="21">
        <v>2.0</v>
      </c>
      <c r="E107" s="21">
        <v>30.0</v>
      </c>
      <c r="F107" s="21">
        <v>0.0</v>
      </c>
      <c r="I107" s="24">
        <f t="shared" si="1"/>
        <v>1</v>
      </c>
      <c r="J107" s="24" t="str">
        <f t="shared" si="2"/>
        <v>
 - DIL01101 - MODELOS MATEMÁTICOS ELEMENTARES</v>
      </c>
      <c r="K107" s="24" t="str">
        <f t="shared" si="3"/>
        <v>LABORATÓRIO DE FÍSICA PARA ENGENHARIA I</v>
      </c>
    </row>
    <row r="108">
      <c r="A108" s="21" t="s">
        <v>215</v>
      </c>
      <c r="B108" s="21" t="s">
        <v>216</v>
      </c>
      <c r="C108" s="21" t="s">
        <v>97</v>
      </c>
      <c r="D108" s="21">
        <v>2.0</v>
      </c>
      <c r="E108" s="21">
        <v>30.0</v>
      </c>
      <c r="F108" s="21">
        <v>0.0</v>
      </c>
      <c r="I108" s="24">
        <f t="shared" si="1"/>
        <v>3</v>
      </c>
      <c r="J108" s="24" t="str">
        <f t="shared" si="2"/>
        <v>
 - DIL01111 - INTRODUÇÃO À ÁLGEBRA LINEAR
 - e DIL01113 - CÁLCULO DIFERENCIAL E INTEGRAL I
 - e DIL01114 - FÍSICA PARA ENGENHARIA I</v>
      </c>
      <c r="K108" s="24" t="str">
        <f t="shared" si="3"/>
        <v>LABORATÓRIO DE FÍSICA PARA ENGENHARIA II</v>
      </c>
    </row>
    <row r="109">
      <c r="A109" s="21" t="s">
        <v>221</v>
      </c>
      <c r="B109" s="21" t="s">
        <v>222</v>
      </c>
      <c r="C109" s="21" t="s">
        <v>97</v>
      </c>
      <c r="D109" s="21">
        <v>2.0</v>
      </c>
      <c r="E109" s="21">
        <v>30.0</v>
      </c>
      <c r="F109" s="21">
        <v>0.0</v>
      </c>
      <c r="I109" s="24">
        <f t="shared" si="1"/>
        <v>0</v>
      </c>
      <c r="J109" s="24" t="str">
        <f t="shared" si="2"/>
        <v/>
      </c>
      <c r="K109" s="24" t="str">
        <f t="shared" si="3"/>
        <v>LABORATÓRIO DE FUNDAMENTOS DE QUÍMICA</v>
      </c>
    </row>
    <row r="110">
      <c r="A110" s="21" t="s">
        <v>274</v>
      </c>
      <c r="B110" s="21" t="s">
        <v>275</v>
      </c>
      <c r="C110" s="21" t="s">
        <v>97</v>
      </c>
      <c r="D110" s="21">
        <v>2.0</v>
      </c>
      <c r="E110" s="21">
        <v>30.0</v>
      </c>
      <c r="F110" s="21">
        <v>0.0</v>
      </c>
      <c r="I110" s="24">
        <f t="shared" si="1"/>
        <v>2</v>
      </c>
      <c r="J110" s="24" t="str">
        <f t="shared" si="2"/>
        <v>
 - DIL01111 - INTRODUÇÃO À ÁLGEBRA LINEAR
 - e DIL01113 - CÁLCULO DIFERENCIAL E INTEGRAL I</v>
      </c>
      <c r="K110" s="24" t="str">
        <f t="shared" si="3"/>
        <v>LABORATÓRIO DE FUNDAMENTOS DO ELETROMAGNETISMO</v>
      </c>
    </row>
    <row r="111">
      <c r="A111" s="21" t="s">
        <v>698</v>
      </c>
      <c r="B111" s="21" t="s">
        <v>699</v>
      </c>
      <c r="C111" s="21" t="s">
        <v>97</v>
      </c>
      <c r="D111" s="21">
        <v>3.0</v>
      </c>
      <c r="E111" s="21">
        <v>45.0</v>
      </c>
      <c r="F111" s="21">
        <v>6.0</v>
      </c>
      <c r="I111" s="24">
        <f t="shared" si="1"/>
        <v>0</v>
      </c>
      <c r="J111" s="24" t="str">
        <f t="shared" si="2"/>
        <v/>
      </c>
      <c r="K111" s="24" t="str">
        <f t="shared" si="3"/>
        <v>LEGISLAÇÃO AMBIENTAL - A</v>
      </c>
    </row>
    <row r="112">
      <c r="A112" s="21" t="s">
        <v>278</v>
      </c>
      <c r="B112" s="21" t="s">
        <v>280</v>
      </c>
      <c r="C112" s="21" t="s">
        <v>97</v>
      </c>
      <c r="D112" s="21">
        <v>4.0</v>
      </c>
      <c r="E112" s="21">
        <v>60.0</v>
      </c>
      <c r="F112" s="21">
        <v>15.0</v>
      </c>
      <c r="I112" s="24">
        <f t="shared" si="1"/>
        <v>0</v>
      </c>
      <c r="J112" s="24" t="str">
        <f t="shared" si="2"/>
        <v/>
      </c>
      <c r="K112" s="24" t="str">
        <f t="shared" si="3"/>
        <v>LIDERANÇA E EMPREENDEDORISMO</v>
      </c>
    </row>
    <row r="113">
      <c r="A113" s="21" t="s">
        <v>700</v>
      </c>
      <c r="B113" s="21" t="s">
        <v>701</v>
      </c>
      <c r="C113" s="21" t="s">
        <v>97</v>
      </c>
      <c r="D113" s="21">
        <v>4.0</v>
      </c>
      <c r="E113" s="21">
        <v>60.0</v>
      </c>
      <c r="F113" s="21">
        <v>0.0</v>
      </c>
      <c r="I113" s="24">
        <f t="shared" si="1"/>
        <v>0</v>
      </c>
      <c r="J113" s="24" t="str">
        <f t="shared" si="2"/>
        <v/>
      </c>
      <c r="K113" s="24" t="str">
        <f t="shared" si="3"/>
        <v>LIMNOLOGIA I</v>
      </c>
    </row>
    <row r="114">
      <c r="A114" s="21" t="s">
        <v>329</v>
      </c>
      <c r="B114" s="21" t="s">
        <v>330</v>
      </c>
      <c r="C114" s="21" t="s">
        <v>97</v>
      </c>
      <c r="D114" s="21">
        <v>4.0</v>
      </c>
      <c r="E114" s="21">
        <v>60.0</v>
      </c>
      <c r="F114" s="21">
        <v>0.0</v>
      </c>
      <c r="I114" s="24">
        <f t="shared" si="1"/>
        <v>1</v>
      </c>
      <c r="J114" s="24" t="str">
        <f t="shared" si="2"/>
        <v>
 - DIL01123 - FÍSICA PARA ENGENHARIA II</v>
      </c>
      <c r="K114" s="24" t="str">
        <f t="shared" si="3"/>
        <v>MÁQUINAS TÉRMICAS</v>
      </c>
    </row>
    <row r="115">
      <c r="A115" s="21" t="s">
        <v>428</v>
      </c>
      <c r="B115" s="21" t="s">
        <v>429</v>
      </c>
      <c r="C115" s="21" t="s">
        <v>97</v>
      </c>
      <c r="D115" s="21">
        <v>4.0</v>
      </c>
      <c r="E115" s="21">
        <v>60.0</v>
      </c>
      <c r="F115" s="21">
        <v>15.0</v>
      </c>
      <c r="I115" s="24">
        <f t="shared" si="1"/>
        <v>0</v>
      </c>
      <c r="J115" s="24" t="str">
        <f t="shared" si="2"/>
        <v/>
      </c>
      <c r="K115" s="24" t="str">
        <f t="shared" si="3"/>
        <v>MARKETING E SATISFAÇÃO DO CLIENTE EM SERVIÇOS</v>
      </c>
    </row>
    <row r="116">
      <c r="A116" s="21" t="s">
        <v>496</v>
      </c>
      <c r="B116" s="21" t="s">
        <v>498</v>
      </c>
      <c r="C116" s="21" t="s">
        <v>97</v>
      </c>
      <c r="D116" s="21">
        <v>4.0</v>
      </c>
      <c r="E116" s="21">
        <v>60.0</v>
      </c>
      <c r="F116" s="21">
        <v>0.0</v>
      </c>
      <c r="I116" s="24">
        <f t="shared" si="1"/>
        <v>1</v>
      </c>
      <c r="J116" s="24" t="str">
        <f t="shared" si="2"/>
        <v>
 - DIL01159 - CIÊNCIA E TECNOLOGIA DOS MATERIAIS</v>
      </c>
      <c r="K116" s="24" t="str">
        <f t="shared" si="3"/>
        <v>MATERIAIS DE CONSTRUÇÃO</v>
      </c>
    </row>
    <row r="117">
      <c r="A117" s="21" t="s">
        <v>335</v>
      </c>
      <c r="B117" s="21" t="s">
        <v>337</v>
      </c>
      <c r="C117" s="21" t="s">
        <v>97</v>
      </c>
      <c r="D117" s="21">
        <v>6.0</v>
      </c>
      <c r="E117" s="21">
        <v>90.0</v>
      </c>
      <c r="F117" s="21">
        <v>0.0</v>
      </c>
      <c r="I117" s="24">
        <f t="shared" si="1"/>
        <v>2</v>
      </c>
      <c r="J117" s="24" t="str">
        <f t="shared" si="2"/>
        <v>
 - DIL01114 - FÍSICA PARA ENGENHARIA I
 - e DIL01122 - CÁLCULO DIFERENCIAL E INTEGRAL II</v>
      </c>
      <c r="K117" s="24" t="str">
        <f t="shared" si="3"/>
        <v>MECÂNICA E RESISTÊNCIA DOS MATERIAIS</v>
      </c>
    </row>
    <row r="118">
      <c r="A118" s="21" t="s">
        <v>702</v>
      </c>
      <c r="B118" s="21" t="s">
        <v>703</v>
      </c>
      <c r="C118" s="21" t="s">
        <v>97</v>
      </c>
      <c r="D118" s="21">
        <v>2.0</v>
      </c>
      <c r="E118" s="21">
        <v>30.0</v>
      </c>
      <c r="F118" s="21">
        <v>0.0</v>
      </c>
      <c r="I118" s="24">
        <f t="shared" si="1"/>
        <v>0</v>
      </c>
      <c r="J118" s="24" t="str">
        <f t="shared" si="2"/>
        <v/>
      </c>
      <c r="K118" s="24" t="str">
        <f t="shared" si="3"/>
        <v>MONITORAMENTO AMBIENTAL LITORÂNEO</v>
      </c>
    </row>
    <row r="119">
      <c r="A119" s="21" t="s">
        <v>704</v>
      </c>
      <c r="B119" s="21" t="s">
        <v>705</v>
      </c>
      <c r="C119" s="21" t="s">
        <v>97</v>
      </c>
      <c r="D119" s="21">
        <v>4.0</v>
      </c>
      <c r="E119" s="21">
        <v>60.0</v>
      </c>
      <c r="F119" s="21">
        <v>6.0</v>
      </c>
      <c r="I119" s="24">
        <f t="shared" si="1"/>
        <v>0</v>
      </c>
      <c r="J119" s="24" t="str">
        <f t="shared" si="2"/>
        <v/>
      </c>
      <c r="K119" s="24" t="str">
        <f t="shared" si="3"/>
        <v>MOVIMENTOS SOCIAIS E AÇÃO COLETIVA</v>
      </c>
    </row>
    <row r="120">
      <c r="A120" s="21" t="s">
        <v>706</v>
      </c>
      <c r="B120" s="21" t="s">
        <v>707</v>
      </c>
      <c r="C120" s="21" t="s">
        <v>97</v>
      </c>
      <c r="D120" s="21">
        <v>3.0</v>
      </c>
      <c r="E120" s="21">
        <v>45.0</v>
      </c>
      <c r="F120" s="21">
        <v>30.0</v>
      </c>
      <c r="I120" s="24">
        <f t="shared" si="1"/>
        <v>0</v>
      </c>
      <c r="J120" s="24" t="str">
        <f t="shared" si="2"/>
        <v/>
      </c>
      <c r="K120" s="24" t="str">
        <f t="shared" si="3"/>
        <v>MUSEOLOGIA E A HISTÓRIA NATURAL</v>
      </c>
    </row>
    <row r="121">
      <c r="A121" s="21" t="s">
        <v>708</v>
      </c>
      <c r="B121" s="21" t="s">
        <v>709</v>
      </c>
      <c r="C121" s="21" t="s">
        <v>97</v>
      </c>
      <c r="D121" s="21">
        <v>4.0</v>
      </c>
      <c r="E121" s="21">
        <v>60.0</v>
      </c>
      <c r="F121" s="21">
        <v>6.0</v>
      </c>
      <c r="I121" s="24">
        <f t="shared" si="1"/>
        <v>0</v>
      </c>
      <c r="J121" s="24" t="str">
        <f t="shared" si="2"/>
        <v/>
      </c>
      <c r="K121" s="24" t="str">
        <f t="shared" si="3"/>
        <v>NATUREZA, SOCIEDADE E DESENVOLVIMENTO</v>
      </c>
    </row>
    <row r="122">
      <c r="A122" s="21" t="s">
        <v>710</v>
      </c>
      <c r="B122" s="21" t="s">
        <v>711</v>
      </c>
      <c r="C122" s="21" t="s">
        <v>97</v>
      </c>
      <c r="D122" s="21">
        <v>4.0</v>
      </c>
      <c r="E122" s="21">
        <v>60.0</v>
      </c>
      <c r="F122" s="21">
        <v>0.0</v>
      </c>
      <c r="I122" s="24">
        <f t="shared" si="1"/>
        <v>0</v>
      </c>
      <c r="J122" s="24" t="str">
        <f t="shared" si="2"/>
        <v/>
      </c>
      <c r="K122" s="24" t="str">
        <f t="shared" si="3"/>
        <v>OCEANOGRAFIA I</v>
      </c>
    </row>
    <row r="123">
      <c r="A123" s="21" t="s">
        <v>712</v>
      </c>
      <c r="B123" s="21" t="s">
        <v>713</v>
      </c>
      <c r="C123" s="21" t="s">
        <v>97</v>
      </c>
      <c r="D123" s="21">
        <v>2.0</v>
      </c>
      <c r="E123" s="21">
        <v>30.0</v>
      </c>
      <c r="F123" s="21">
        <v>3.0</v>
      </c>
      <c r="I123" s="24">
        <f t="shared" si="1"/>
        <v>0</v>
      </c>
      <c r="J123" s="24" t="str">
        <f t="shared" si="2"/>
        <v/>
      </c>
      <c r="K123" s="24" t="str">
        <f t="shared" si="3"/>
        <v>OCEANOS, CLIMA E DINÂMICA COSTEIRA</v>
      </c>
    </row>
    <row r="124">
      <c r="A124" s="21" t="s">
        <v>714</v>
      </c>
      <c r="B124" s="21" t="s">
        <v>715</v>
      </c>
      <c r="C124" s="21" t="s">
        <v>97</v>
      </c>
      <c r="D124" s="21">
        <v>3.0</v>
      </c>
      <c r="E124" s="21">
        <v>45.0</v>
      </c>
      <c r="F124" s="21">
        <v>0.0</v>
      </c>
      <c r="I124" s="24">
        <f t="shared" si="1"/>
        <v>1</v>
      </c>
      <c r="J124" s="24" t="str">
        <f t="shared" si="2"/>
        <v>
 - DIL01158 - ADMINISTRAÇÃO</v>
      </c>
      <c r="K124" s="24" t="str">
        <f t="shared" si="3"/>
        <v>ORGANIZAÇÃO DE EMPRESAS DE SERVIÇOS</v>
      </c>
    </row>
    <row r="125">
      <c r="A125" s="21" t="s">
        <v>716</v>
      </c>
      <c r="B125" s="21" t="s">
        <v>717</v>
      </c>
      <c r="C125" s="21" t="s">
        <v>97</v>
      </c>
      <c r="D125" s="21">
        <v>4.0</v>
      </c>
      <c r="E125" s="21">
        <v>60.0</v>
      </c>
      <c r="F125" s="21">
        <v>6.0</v>
      </c>
      <c r="I125" s="24">
        <f t="shared" si="1"/>
        <v>0</v>
      </c>
      <c r="J125" s="24" t="str">
        <f t="shared" si="2"/>
        <v/>
      </c>
      <c r="K125" s="24" t="str">
        <f t="shared" si="3"/>
        <v>PENSAMENTO SOCIAL BRASILEIRO</v>
      </c>
    </row>
    <row r="126">
      <c r="A126" s="21" t="s">
        <v>343</v>
      </c>
      <c r="B126" s="21" t="s">
        <v>344</v>
      </c>
      <c r="C126" s="21" t="s">
        <v>97</v>
      </c>
      <c r="D126" s="21">
        <v>4.0</v>
      </c>
      <c r="E126" s="21">
        <v>60.0</v>
      </c>
      <c r="F126" s="21">
        <v>0.0</v>
      </c>
      <c r="I126" s="24">
        <f t="shared" si="1"/>
        <v>2</v>
      </c>
      <c r="J126" s="24" t="str">
        <f t="shared" si="2"/>
        <v>
 - DIL01112 - ESTATÍSTICA I
 - e DIL01113 - CÁLCULO DIFERENCIAL E INTEGRAL I</v>
      </c>
      <c r="K126" s="24" t="str">
        <f t="shared" si="3"/>
        <v>PESQUISA OPERACIONAL</v>
      </c>
    </row>
    <row r="127">
      <c r="A127" s="21" t="s">
        <v>718</v>
      </c>
      <c r="B127" s="21" t="s">
        <v>719</v>
      </c>
      <c r="C127" s="21" t="s">
        <v>97</v>
      </c>
      <c r="D127" s="21">
        <v>4.0</v>
      </c>
      <c r="E127" s="21">
        <v>60.0</v>
      </c>
      <c r="F127" s="21">
        <v>6.0</v>
      </c>
      <c r="I127" s="24">
        <f t="shared" si="1"/>
        <v>0</v>
      </c>
      <c r="J127" s="24" t="str">
        <f t="shared" si="2"/>
        <v/>
      </c>
      <c r="K127" s="24" t="str">
        <f t="shared" si="3"/>
        <v>PESQUISA QUALITATIVA I</v>
      </c>
    </row>
    <row r="128">
      <c r="A128" s="21" t="s">
        <v>720</v>
      </c>
      <c r="B128" s="21" t="s">
        <v>721</v>
      </c>
      <c r="C128" s="21" t="s">
        <v>97</v>
      </c>
      <c r="D128" s="21">
        <v>4.0</v>
      </c>
      <c r="E128" s="21">
        <v>60.0</v>
      </c>
      <c r="F128" s="21">
        <v>6.0</v>
      </c>
      <c r="I128" s="24">
        <f t="shared" si="1"/>
        <v>0</v>
      </c>
      <c r="J128" s="24" t="str">
        <f t="shared" si="2"/>
        <v/>
      </c>
      <c r="K128" s="24" t="str">
        <f t="shared" si="3"/>
        <v>PESQUISA QUALITATIVA II</v>
      </c>
    </row>
    <row r="129">
      <c r="A129" s="21" t="s">
        <v>722</v>
      </c>
      <c r="B129" s="21" t="s">
        <v>723</v>
      </c>
      <c r="C129" s="21" t="s">
        <v>97</v>
      </c>
      <c r="D129" s="21">
        <v>4.0</v>
      </c>
      <c r="E129" s="21">
        <v>60.0</v>
      </c>
      <c r="F129" s="21">
        <v>6.0</v>
      </c>
      <c r="I129" s="24">
        <f t="shared" si="1"/>
        <v>0</v>
      </c>
      <c r="J129" s="24" t="str">
        <f t="shared" si="2"/>
        <v/>
      </c>
      <c r="K129" s="24" t="str">
        <f t="shared" si="3"/>
        <v>PESQUISA QUANTITATIVA I</v>
      </c>
    </row>
    <row r="130">
      <c r="A130" s="21" t="s">
        <v>724</v>
      </c>
      <c r="B130" s="21" t="s">
        <v>725</v>
      </c>
      <c r="C130" s="21" t="s">
        <v>97</v>
      </c>
      <c r="D130" s="21">
        <v>4.0</v>
      </c>
      <c r="E130" s="21">
        <v>60.0</v>
      </c>
      <c r="F130" s="21">
        <v>6.0</v>
      </c>
      <c r="I130" s="24">
        <f t="shared" si="1"/>
        <v>0</v>
      </c>
      <c r="J130" s="24" t="str">
        <f t="shared" si="2"/>
        <v/>
      </c>
      <c r="K130" s="24" t="str">
        <f t="shared" si="3"/>
        <v>PESQUISA QUANTITATIVA II</v>
      </c>
    </row>
    <row r="131">
      <c r="A131" s="21" t="s">
        <v>726</v>
      </c>
      <c r="B131" s="21" t="s">
        <v>727</v>
      </c>
      <c r="C131" s="21" t="s">
        <v>97</v>
      </c>
      <c r="D131" s="21">
        <v>3.0</v>
      </c>
      <c r="E131" s="21">
        <v>45.0</v>
      </c>
      <c r="F131" s="21">
        <v>0.0</v>
      </c>
      <c r="I131" s="24">
        <f t="shared" si="1"/>
        <v>0</v>
      </c>
      <c r="J131" s="24" t="str">
        <f t="shared" si="2"/>
        <v/>
      </c>
      <c r="K131" s="24" t="str">
        <f t="shared" si="3"/>
        <v>PLANEJAMENTO E ELABORAÇÃO DE PROJETOS PARA O DESENVOLVIMENTO REGIONAL</v>
      </c>
    </row>
    <row r="132">
      <c r="A132" s="21" t="s">
        <v>728</v>
      </c>
      <c r="B132" s="21" t="s">
        <v>729</v>
      </c>
      <c r="C132" s="21" t="s">
        <v>97</v>
      </c>
      <c r="D132" s="21">
        <v>4.0</v>
      </c>
      <c r="E132" s="21">
        <v>60.0</v>
      </c>
      <c r="F132" s="21">
        <v>30.0</v>
      </c>
      <c r="I132" s="24">
        <f t="shared" si="1"/>
        <v>0</v>
      </c>
      <c r="J132" s="24" t="str">
        <f t="shared" si="2"/>
        <v/>
      </c>
      <c r="K132" s="24" t="str">
        <f t="shared" si="3"/>
        <v>PLANEJAMENTO, ELABORAÇÃO E GERENCIAMENTO DE PROJETOS PARA O DESENVOLVIMENTO REGIONAL</v>
      </c>
    </row>
    <row r="133">
      <c r="A133" s="21" t="s">
        <v>226</v>
      </c>
      <c r="B133" s="21" t="s">
        <v>227</v>
      </c>
      <c r="C133" s="21" t="s">
        <v>97</v>
      </c>
      <c r="D133" s="21">
        <v>4.0</v>
      </c>
      <c r="E133" s="21">
        <v>60.0</v>
      </c>
      <c r="F133" s="21">
        <v>12.0</v>
      </c>
      <c r="I133" s="24">
        <f t="shared" si="1"/>
        <v>0</v>
      </c>
      <c r="J133" s="24" t="str">
        <f t="shared" si="2"/>
        <v/>
      </c>
      <c r="K133" s="24" t="str">
        <f t="shared" si="3"/>
        <v>POLÍTICAS PÚBLICAS DO DESENVOLVIMENTO REGIONAL</v>
      </c>
    </row>
    <row r="134">
      <c r="A134" s="21" t="s">
        <v>730</v>
      </c>
      <c r="B134" s="21" t="s">
        <v>731</v>
      </c>
      <c r="C134" s="21" t="s">
        <v>97</v>
      </c>
      <c r="D134" s="21">
        <v>4.0</v>
      </c>
      <c r="E134" s="21">
        <v>60.0</v>
      </c>
      <c r="F134" s="21">
        <v>6.0</v>
      </c>
      <c r="I134" s="24">
        <f t="shared" si="1"/>
        <v>0</v>
      </c>
      <c r="J134" s="24" t="str">
        <f t="shared" si="2"/>
        <v/>
      </c>
      <c r="K134" s="24" t="str">
        <f t="shared" si="3"/>
        <v>POLUIÇÃO COSTEIRA E MARINHA - A</v>
      </c>
    </row>
    <row r="135">
      <c r="A135" s="21" t="s">
        <v>285</v>
      </c>
      <c r="B135" s="21" t="s">
        <v>286</v>
      </c>
      <c r="C135" s="21" t="s">
        <v>97</v>
      </c>
      <c r="D135" s="21">
        <v>4.0</v>
      </c>
      <c r="E135" s="21">
        <v>60.0</v>
      </c>
      <c r="F135" s="21">
        <v>6.0</v>
      </c>
      <c r="I135" s="24">
        <f t="shared" si="1"/>
        <v>0</v>
      </c>
      <c r="J135" s="24" t="str">
        <f t="shared" si="2"/>
        <v/>
      </c>
      <c r="K135" s="24" t="str">
        <f t="shared" si="3"/>
        <v>PROCESSOS DE CONSTRUÇÃO DE IDENTIDADES</v>
      </c>
    </row>
    <row r="136">
      <c r="A136" s="21" t="s">
        <v>340</v>
      </c>
      <c r="B136" s="21" t="s">
        <v>341</v>
      </c>
      <c r="C136" s="21" t="s">
        <v>97</v>
      </c>
      <c r="D136" s="21">
        <v>2.0</v>
      </c>
      <c r="E136" s="21">
        <v>30.0</v>
      </c>
      <c r="F136" s="21">
        <v>30.0</v>
      </c>
      <c r="I136" s="24">
        <f t="shared" si="1"/>
        <v>0</v>
      </c>
      <c r="J136" s="24" t="str">
        <f t="shared" si="2"/>
        <v/>
      </c>
      <c r="K136" s="24" t="str">
        <f t="shared" si="3"/>
        <v>PROJETO INTEGRADOR 1: DIAGNÓSTICO DO SETOR DE SERVIÇO DA REGIÃO</v>
      </c>
    </row>
    <row r="137">
      <c r="A137" s="21" t="s">
        <v>732</v>
      </c>
      <c r="B137" s="21" t="s">
        <v>733</v>
      </c>
      <c r="C137" s="21" t="s">
        <v>97</v>
      </c>
      <c r="D137" s="21">
        <v>2.0</v>
      </c>
      <c r="E137" s="21">
        <v>30.0</v>
      </c>
      <c r="F137" s="21">
        <v>0.0</v>
      </c>
      <c r="I137" s="24">
        <f t="shared" si="1"/>
        <v>1</v>
      </c>
      <c r="J137" s="24" t="str">
        <f t="shared" si="2"/>
        <v>
 - DIL01179 - PROJETO INTEGRADOR 1: DIAGNÓSTICO DO SETOR DE SERVIÇO DA REGIÃO</v>
      </c>
      <c r="K137" s="24" t="str">
        <f t="shared" si="3"/>
        <v>PROJETO INTEGRADOR 2: CONCEPÇÃO DO SERVIÇO E PLANO DE NEGÓCIOS</v>
      </c>
    </row>
    <row r="138">
      <c r="A138" s="21" t="s">
        <v>734</v>
      </c>
      <c r="B138" s="21" t="s">
        <v>735</v>
      </c>
      <c r="C138" s="21" t="s">
        <v>97</v>
      </c>
      <c r="D138" s="21">
        <v>2.0</v>
      </c>
      <c r="E138" s="21">
        <v>30.0</v>
      </c>
      <c r="F138" s="21">
        <v>0.0</v>
      </c>
      <c r="I138" s="24">
        <f t="shared" si="1"/>
        <v>1</v>
      </c>
      <c r="J138" s="24" t="str">
        <f t="shared" si="2"/>
        <v>
 - DIL01181 - PROJETO INTEGRADOR 2: CONCEPÇÃO DO SERVIÇO E PLANO DE NEGÓCIOS</v>
      </c>
      <c r="K138" s="24" t="str">
        <f t="shared" si="3"/>
        <v>PROJETO INTEGRADOR 3: DESENVOLVIMENTO DE SERVIÇOS</v>
      </c>
    </row>
    <row r="139">
      <c r="A139" s="21" t="s">
        <v>736</v>
      </c>
      <c r="B139" s="21" t="s">
        <v>737</v>
      </c>
      <c r="C139" s="21" t="s">
        <v>97</v>
      </c>
      <c r="D139" s="21">
        <v>2.0</v>
      </c>
      <c r="E139" s="21">
        <v>30.0</v>
      </c>
      <c r="F139" s="21">
        <v>0.0</v>
      </c>
      <c r="I139" s="24">
        <f t="shared" si="1"/>
        <v>1</v>
      </c>
      <c r="J139" s="24" t="str">
        <f t="shared" si="2"/>
        <v>
 - DIL01185 - PROJETO INTEGRADOR 3: DESENVOLVIMENTO DE SERVIÇOS</v>
      </c>
      <c r="K139" s="24" t="str">
        <f t="shared" si="3"/>
        <v>PROJETO INTEGRADOR 4: PLANEJAMENTO ESTRATÉGICO</v>
      </c>
    </row>
    <row r="140">
      <c r="A140" s="21" t="s">
        <v>350</v>
      </c>
      <c r="B140" s="21" t="s">
        <v>351</v>
      </c>
      <c r="C140" s="21" t="s">
        <v>97</v>
      </c>
      <c r="D140" s="21">
        <v>4.0</v>
      </c>
      <c r="E140" s="21">
        <v>60.0</v>
      </c>
      <c r="F140" s="21">
        <v>6.0</v>
      </c>
      <c r="I140" s="24">
        <f t="shared" si="1"/>
        <v>0</v>
      </c>
      <c r="J140" s="24" t="str">
        <f t="shared" si="2"/>
        <v/>
      </c>
      <c r="K140" s="24" t="str">
        <f t="shared" si="3"/>
        <v>PROJETOS INTEGRADOS DE GESTÃO ESPACIAL</v>
      </c>
    </row>
    <row r="141">
      <c r="A141" s="21" t="s">
        <v>347</v>
      </c>
      <c r="B141" s="21" t="s">
        <v>739</v>
      </c>
      <c r="C141" s="21" t="s">
        <v>97</v>
      </c>
      <c r="D141" s="21">
        <v>3.0</v>
      </c>
      <c r="E141" s="21">
        <v>45.0</v>
      </c>
      <c r="F141" s="21">
        <v>0.0</v>
      </c>
      <c r="I141" s="24">
        <f t="shared" si="1"/>
        <v>0</v>
      </c>
      <c r="J141" s="24" t="str">
        <f t="shared" si="2"/>
        <v/>
      </c>
      <c r="K141" s="24" t="str">
        <f t="shared" si="3"/>
        <v>QUALIDADE EM SERVIÇOS</v>
      </c>
    </row>
    <row r="142">
      <c r="A142" s="21" t="s">
        <v>740</v>
      </c>
      <c r="B142" s="21" t="s">
        <v>741</v>
      </c>
      <c r="C142" s="21" t="s">
        <v>97</v>
      </c>
      <c r="D142" s="21">
        <v>2.0</v>
      </c>
      <c r="E142" s="21">
        <v>30.0</v>
      </c>
      <c r="F142" s="21">
        <v>0.0</v>
      </c>
      <c r="I142" s="24">
        <f t="shared" si="1"/>
        <v>0</v>
      </c>
      <c r="J142" s="24" t="str">
        <f t="shared" si="2"/>
        <v/>
      </c>
      <c r="K142" s="24" t="str">
        <f t="shared" si="3"/>
        <v>RECURSOS MINERAIS E ENERGÉTICOS COSTEIROS</v>
      </c>
    </row>
    <row r="143">
      <c r="A143" s="21" t="s">
        <v>742</v>
      </c>
      <c r="B143" s="21" t="s">
        <v>743</v>
      </c>
      <c r="C143" s="21" t="s">
        <v>97</v>
      </c>
      <c r="D143" s="21">
        <v>4.0</v>
      </c>
      <c r="E143" s="21">
        <v>60.0</v>
      </c>
      <c r="F143" s="21">
        <v>6.0</v>
      </c>
      <c r="I143" s="24">
        <f t="shared" si="1"/>
        <v>0</v>
      </c>
      <c r="J143" s="24" t="str">
        <f t="shared" si="2"/>
        <v/>
      </c>
      <c r="K143" s="24" t="str">
        <f t="shared" si="3"/>
        <v>SENSORIAMENTO REMOTO APLICADO À GEOLOGIA MARINHA E COSTEIRA - A</v>
      </c>
    </row>
    <row r="144">
      <c r="A144" s="21" t="s">
        <v>409</v>
      </c>
      <c r="B144" s="21" t="s">
        <v>410</v>
      </c>
      <c r="C144" s="21" t="s">
        <v>97</v>
      </c>
      <c r="D144" s="21">
        <v>4.0</v>
      </c>
      <c r="E144" s="21">
        <v>60.0</v>
      </c>
      <c r="F144" s="21">
        <v>6.0</v>
      </c>
      <c r="I144" s="24">
        <f t="shared" si="1"/>
        <v>0</v>
      </c>
      <c r="J144" s="24" t="str">
        <f t="shared" si="2"/>
        <v/>
      </c>
      <c r="K144" s="24" t="str">
        <f t="shared" si="3"/>
        <v>SISTEMAS COMPLEXOS E DESENVOLVIMENTO REGIONAL</v>
      </c>
    </row>
    <row r="145">
      <c r="A145" s="21" t="s">
        <v>508</v>
      </c>
      <c r="B145" s="21" t="s">
        <v>744</v>
      </c>
      <c r="C145" s="21" t="s">
        <v>97</v>
      </c>
      <c r="D145" s="21">
        <v>4.0</v>
      </c>
      <c r="E145" s="21">
        <v>60.0</v>
      </c>
      <c r="F145" s="21">
        <v>0.0</v>
      </c>
      <c r="I145" s="24">
        <f t="shared" si="1"/>
        <v>1</v>
      </c>
      <c r="J145" s="24" t="str">
        <f t="shared" si="2"/>
        <v>
 - DIL01182 - MATERIAIS DE CONSTRUÇÃO</v>
      </c>
      <c r="K145" s="24" t="str">
        <f t="shared" si="3"/>
        <v>TÉCNICAS DE CONSTRUÇÃO - I</v>
      </c>
    </row>
    <row r="146">
      <c r="A146" s="21" t="s">
        <v>154</v>
      </c>
      <c r="B146" s="21" t="s">
        <v>155</v>
      </c>
      <c r="C146" s="21" t="s">
        <v>97</v>
      </c>
      <c r="D146" s="21">
        <v>4.0</v>
      </c>
      <c r="E146" s="21">
        <v>60.0</v>
      </c>
      <c r="F146" s="21">
        <v>6.0</v>
      </c>
      <c r="I146" s="24">
        <f t="shared" si="1"/>
        <v>0</v>
      </c>
      <c r="J146" s="24" t="str">
        <f t="shared" si="2"/>
        <v/>
      </c>
      <c r="K146" s="24" t="str">
        <f t="shared" si="3"/>
        <v>TEORIAS DO DESENVOLVIMENTO</v>
      </c>
    </row>
    <row r="147">
      <c r="A147" s="21" t="s">
        <v>745</v>
      </c>
      <c r="B147" s="21" t="s">
        <v>746</v>
      </c>
      <c r="C147" s="21" t="s">
        <v>97</v>
      </c>
      <c r="D147" s="21">
        <v>4.0</v>
      </c>
      <c r="E147" s="21">
        <v>60.0</v>
      </c>
      <c r="F147" s="21">
        <v>6.0</v>
      </c>
      <c r="I147" s="24">
        <f t="shared" si="1"/>
        <v>0</v>
      </c>
      <c r="J147" s="24" t="str">
        <f t="shared" si="2"/>
        <v/>
      </c>
      <c r="K147" s="24" t="str">
        <f t="shared" si="3"/>
        <v>TEORIAS, ESTRATÉGIAS E PRÁTICAS EM METODOLOGIAS PARTICIPATIVAS</v>
      </c>
    </row>
    <row r="148">
      <c r="A148" s="21" t="s">
        <v>747</v>
      </c>
      <c r="B148" s="21" t="s">
        <v>748</v>
      </c>
      <c r="C148" s="21" t="s">
        <v>97</v>
      </c>
      <c r="D148" s="21">
        <v>4.0</v>
      </c>
      <c r="E148" s="21">
        <v>60.0</v>
      </c>
      <c r="F148" s="21">
        <v>0.0</v>
      </c>
      <c r="I148" s="24">
        <f t="shared" si="1"/>
        <v>0</v>
      </c>
      <c r="J148" s="24" t="str">
        <f t="shared" si="2"/>
        <v/>
      </c>
      <c r="K148" s="24" t="str">
        <f t="shared" si="3"/>
        <v>TERRITÓRIO E TRIBUTAÇÃO</v>
      </c>
    </row>
    <row r="149">
      <c r="A149" s="21" t="s">
        <v>749</v>
      </c>
      <c r="B149" s="21" t="s">
        <v>750</v>
      </c>
      <c r="C149" s="21" t="s">
        <v>97</v>
      </c>
      <c r="D149" s="21">
        <v>3.0</v>
      </c>
      <c r="E149" s="21">
        <v>45.0</v>
      </c>
      <c r="F149" s="21">
        <v>0.0</v>
      </c>
      <c r="I149" s="24">
        <f t="shared" si="1"/>
        <v>0</v>
      </c>
      <c r="J149" s="24" t="str">
        <f t="shared" si="2"/>
        <v/>
      </c>
      <c r="K149" s="24" t="str">
        <f t="shared" si="3"/>
        <v>TOPOGRAFIA APLICADA À MORFOLOGIA COSTEIRA</v>
      </c>
    </row>
    <row r="150">
      <c r="A150" s="21" t="s">
        <v>583</v>
      </c>
      <c r="B150" s="21" t="s">
        <v>585</v>
      </c>
      <c r="C150" s="21" t="s">
        <v>97</v>
      </c>
      <c r="D150" s="21">
        <v>4.0</v>
      </c>
      <c r="E150" s="21">
        <v>60.0</v>
      </c>
      <c r="F150" s="21">
        <v>12.0</v>
      </c>
      <c r="I150" s="24">
        <f t="shared" si="1"/>
        <v>0</v>
      </c>
      <c r="J150" s="24" t="str">
        <f t="shared" si="2"/>
        <v/>
      </c>
      <c r="K150" s="24" t="str">
        <f t="shared" si="3"/>
        <v>TRABALHO DE CAMPO INTEGRADO</v>
      </c>
    </row>
    <row r="151">
      <c r="A151" s="21" t="s">
        <v>159</v>
      </c>
      <c r="B151" s="21" t="s">
        <v>160</v>
      </c>
      <c r="C151" s="21" t="s">
        <v>97</v>
      </c>
      <c r="D151" s="21">
        <v>4.0</v>
      </c>
      <c r="E151" s="21">
        <v>60.0</v>
      </c>
      <c r="F151" s="21">
        <v>6.0</v>
      </c>
      <c r="I151" s="24">
        <f t="shared" si="1"/>
        <v>0</v>
      </c>
      <c r="J151" s="24" t="str">
        <f t="shared" si="2"/>
        <v/>
      </c>
      <c r="K151" s="24" t="str">
        <f t="shared" si="3"/>
        <v>TRANSFORMAÇÕES SOCIOCULTURAIS E DESENVOLVIMENTO REGIONAL</v>
      </c>
    </row>
    <row r="152">
      <c r="A152" s="21" t="s">
        <v>751</v>
      </c>
      <c r="B152" s="21" t="s">
        <v>752</v>
      </c>
      <c r="C152" s="21" t="s">
        <v>97</v>
      </c>
      <c r="D152" s="21">
        <v>0.0</v>
      </c>
      <c r="E152" s="21">
        <v>0.0</v>
      </c>
      <c r="F152" s="21">
        <v>0.0</v>
      </c>
      <c r="I152" s="24">
        <f t="shared" si="1"/>
        <v>0</v>
      </c>
      <c r="J152" s="24" t="str">
        <f t="shared" si="2"/>
        <v/>
      </c>
      <c r="K152" s="24" t="str">
        <f t="shared" si="3"/>
        <v>VÍNCULO ACADÊMICO - ERE 2020/1</v>
      </c>
    </row>
    <row r="153">
      <c r="A153" s="21" t="s">
        <v>753</v>
      </c>
      <c r="B153" s="21" t="s">
        <v>754</v>
      </c>
      <c r="C153" s="21" t="s">
        <v>97</v>
      </c>
      <c r="D153" s="21">
        <v>0.0</v>
      </c>
      <c r="E153" s="21">
        <v>0.0</v>
      </c>
      <c r="F153" s="21">
        <v>0.0</v>
      </c>
      <c r="I153" s="24">
        <f t="shared" si="1"/>
        <v>0</v>
      </c>
      <c r="J153" s="24" t="str">
        <f t="shared" si="2"/>
        <v/>
      </c>
      <c r="K153" s="24" t="str">
        <f t="shared" si="3"/>
        <v>VÍNCULO ACADÊMICO - ERE 2020/2</v>
      </c>
    </row>
    <row r="154">
      <c r="A154" s="21" t="s">
        <v>755</v>
      </c>
      <c r="B154" s="21" t="s">
        <v>756</v>
      </c>
      <c r="C154" s="21" t="s">
        <v>97</v>
      </c>
      <c r="D154" s="21">
        <v>0.0</v>
      </c>
      <c r="E154" s="21">
        <v>0.0</v>
      </c>
      <c r="F154" s="21">
        <v>0.0</v>
      </c>
      <c r="I154" s="24">
        <f t="shared" si="1"/>
        <v>0</v>
      </c>
      <c r="J154" s="24" t="str">
        <f t="shared" si="2"/>
        <v/>
      </c>
      <c r="K154" s="24" t="str">
        <f t="shared" si="3"/>
        <v>VÍNCULO ACADÊMICO - ERE 2021/1</v>
      </c>
    </row>
    <row r="155">
      <c r="A155" s="21" t="s">
        <v>757</v>
      </c>
      <c r="B155" s="21" t="s">
        <v>758</v>
      </c>
      <c r="C155" s="21" t="s">
        <v>97</v>
      </c>
      <c r="D155" s="21">
        <v>0.0</v>
      </c>
      <c r="E155" s="21">
        <v>0.0</v>
      </c>
      <c r="F155" s="21">
        <v>0.0</v>
      </c>
      <c r="I155" s="24">
        <f t="shared" si="1"/>
        <v>0</v>
      </c>
      <c r="J155" s="24" t="str">
        <f t="shared" si="2"/>
        <v/>
      </c>
      <c r="K155" s="24" t="str">
        <f t="shared" si="3"/>
        <v>VÍNCULO ACADÊMICO - ERE 2021/2</v>
      </c>
    </row>
  </sheetData>
  <autoFilter ref="$A$1:$K$15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21" t="s">
        <v>0</v>
      </c>
      <c r="B1" s="21" t="s">
        <v>1</v>
      </c>
      <c r="C1" s="21"/>
      <c r="D1" s="21" t="s">
        <v>2</v>
      </c>
      <c r="E1" s="21" t="s">
        <v>3</v>
      </c>
      <c r="F1" s="21" t="s">
        <v>4</v>
      </c>
      <c r="G1" s="21" t="s">
        <v>5</v>
      </c>
      <c r="H1" s="21" t="s">
        <v>7</v>
      </c>
      <c r="I1" s="30" t="s">
        <v>8</v>
      </c>
      <c r="J1" s="30" t="s">
        <v>10</v>
      </c>
      <c r="K1" s="30" t="s">
        <v>11</v>
      </c>
    </row>
    <row r="2">
      <c r="A2" s="21" t="s">
        <v>14</v>
      </c>
      <c r="B2" s="21" t="s">
        <v>31</v>
      </c>
      <c r="C2" s="21"/>
      <c r="D2" s="21" t="s">
        <v>34</v>
      </c>
      <c r="E2" s="21">
        <v>4.0</v>
      </c>
      <c r="F2" s="21">
        <v>60.0</v>
      </c>
      <c r="G2" s="21">
        <v>6.0</v>
      </c>
      <c r="H2" s="22" t="s">
        <v>39</v>
      </c>
      <c r="I2" s="24">
        <f t="shared" ref="I2:I82" si="1">len(B2)-len(substitute(B2,char(10),""))</f>
        <v>0</v>
      </c>
      <c r="J2" s="24" t="str">
        <f t="shared" ref="J2:J153" si="2">IF(I2&gt;0,MID(B2,FIND(CHAR(10),B2),999),"")</f>
        <v/>
      </c>
      <c r="K2" s="24" t="str">
        <f t="shared" ref="K2:K153" si="3">substitute(B2,J2,"")</f>
        <v>DINÂMICAS E CONCEITOS DO ESPAÇO TEMPORAL E SOCIAL - A</v>
      </c>
    </row>
    <row r="3">
      <c r="A3" s="21" t="s">
        <v>72</v>
      </c>
      <c r="B3" s="21" t="s">
        <v>73</v>
      </c>
      <c r="C3" s="21"/>
      <c r="D3" s="21" t="s">
        <v>34</v>
      </c>
      <c r="E3" s="21">
        <v>2.0</v>
      </c>
      <c r="F3" s="21">
        <v>30.0</v>
      </c>
      <c r="G3" s="21">
        <v>0.0</v>
      </c>
      <c r="H3" s="22" t="s">
        <v>39</v>
      </c>
      <c r="I3" s="24">
        <f t="shared" si="1"/>
        <v>0</v>
      </c>
      <c r="J3" s="24" t="str">
        <f t="shared" si="2"/>
        <v/>
      </c>
      <c r="K3" s="24" t="str">
        <f t="shared" si="3"/>
        <v>INTRODUÇÃO À TECNOLOGIA DA INFORMAÇÃO E COMUNICAÇÃO</v>
      </c>
    </row>
    <row r="4">
      <c r="A4" s="21" t="s">
        <v>77</v>
      </c>
      <c r="B4" s="21" t="s">
        <v>78</v>
      </c>
      <c r="C4" s="21"/>
      <c r="D4" s="21" t="s">
        <v>34</v>
      </c>
      <c r="E4" s="21">
        <v>4.0</v>
      </c>
      <c r="F4" s="21">
        <v>60.0</v>
      </c>
      <c r="G4" s="21">
        <v>0.0</v>
      </c>
      <c r="H4" s="22" t="s">
        <v>39</v>
      </c>
      <c r="I4" s="24">
        <f t="shared" si="1"/>
        <v>0</v>
      </c>
      <c r="J4" s="24" t="str">
        <f t="shared" si="2"/>
        <v/>
      </c>
      <c r="K4" s="24" t="str">
        <f t="shared" si="3"/>
        <v>LEITURA E PRODUÇÃO TEXTUAL - A</v>
      </c>
    </row>
    <row r="5">
      <c r="A5" s="21" t="s">
        <v>23</v>
      </c>
      <c r="B5" s="21" t="s">
        <v>223</v>
      </c>
      <c r="C5" s="21"/>
      <c r="D5" s="21" t="s">
        <v>34</v>
      </c>
      <c r="E5" s="21">
        <v>4.0</v>
      </c>
      <c r="F5" s="21">
        <v>60.0</v>
      </c>
      <c r="G5" s="21">
        <v>0.0</v>
      </c>
      <c r="H5" s="22" t="s">
        <v>39</v>
      </c>
      <c r="I5" s="24">
        <f t="shared" si="1"/>
        <v>0</v>
      </c>
      <c r="J5" s="24" t="str">
        <f t="shared" si="2"/>
        <v/>
      </c>
      <c r="K5" s="24" t="str">
        <f t="shared" si="3"/>
        <v>METODOLOGIA DA CIÊNCIA - A</v>
      </c>
    </row>
    <row r="6">
      <c r="A6" s="21" t="s">
        <v>82</v>
      </c>
      <c r="B6" s="21" t="s">
        <v>83</v>
      </c>
      <c r="C6" s="21"/>
      <c r="D6" s="21" t="s">
        <v>34</v>
      </c>
      <c r="E6" s="21">
        <v>4.0</v>
      </c>
      <c r="F6" s="21">
        <v>60.0</v>
      </c>
      <c r="G6" s="21">
        <v>0.0</v>
      </c>
      <c r="H6" s="22" t="s">
        <v>39</v>
      </c>
      <c r="I6" s="24">
        <f t="shared" si="1"/>
        <v>0</v>
      </c>
      <c r="J6" s="24" t="str">
        <f t="shared" si="2"/>
        <v/>
      </c>
      <c r="K6" s="24" t="str">
        <f t="shared" si="3"/>
        <v>MODELOS MATEMÁTICOS ELEMENTARES</v>
      </c>
    </row>
    <row r="7">
      <c r="A7" s="21" t="s">
        <v>98</v>
      </c>
      <c r="B7" s="21" t="s">
        <v>99</v>
      </c>
      <c r="C7" s="21"/>
      <c r="D7" s="21" t="s">
        <v>34</v>
      </c>
      <c r="E7" s="21">
        <v>4.0</v>
      </c>
      <c r="F7" s="21">
        <v>60.0</v>
      </c>
      <c r="G7" s="21">
        <v>0.0</v>
      </c>
      <c r="H7" s="22" t="s">
        <v>101</v>
      </c>
      <c r="I7" s="24">
        <f t="shared" si="1"/>
        <v>0</v>
      </c>
      <c r="J7" s="24" t="str">
        <f t="shared" si="2"/>
        <v/>
      </c>
      <c r="K7" s="24" t="str">
        <f t="shared" si="3"/>
        <v>ADMINISTRAÇÃO</v>
      </c>
    </row>
    <row r="8">
      <c r="A8" s="21" t="s">
        <v>663</v>
      </c>
      <c r="B8" s="21" t="s">
        <v>664</v>
      </c>
      <c r="C8" s="21"/>
      <c r="D8" s="21" t="s">
        <v>34</v>
      </c>
      <c r="E8" s="21">
        <v>4.0</v>
      </c>
      <c r="F8" s="21">
        <v>60.0</v>
      </c>
      <c r="G8" s="21">
        <v>0.0</v>
      </c>
      <c r="H8" s="22" t="s">
        <v>101</v>
      </c>
      <c r="I8" s="24">
        <f t="shared" si="1"/>
        <v>0</v>
      </c>
      <c r="J8" s="24" t="str">
        <f t="shared" si="2"/>
        <v/>
      </c>
      <c r="K8" s="24" t="str">
        <f t="shared" si="3"/>
        <v>COOPERATIVISMO, ASSOCIATIVISMO E ECONOMIA SOLIDÁRIA</v>
      </c>
    </row>
    <row r="9">
      <c r="A9" s="21" t="s">
        <v>108</v>
      </c>
      <c r="B9" s="21" t="s">
        <v>109</v>
      </c>
      <c r="C9" s="21"/>
      <c r="D9" s="21" t="s">
        <v>34</v>
      </c>
      <c r="E9" s="21">
        <v>4.0</v>
      </c>
      <c r="F9" s="21">
        <v>60.0</v>
      </c>
      <c r="G9" s="21">
        <v>0.0</v>
      </c>
      <c r="H9" s="22" t="s">
        <v>101</v>
      </c>
      <c r="I9" s="24">
        <f t="shared" si="1"/>
        <v>1</v>
      </c>
      <c r="J9" s="24" t="str">
        <f t="shared" si="2"/>
        <v>
 - DIL01101 - MODELOS MATEMÁTICOS ELEMENTARES</v>
      </c>
      <c r="K9" s="24" t="str">
        <f t="shared" si="3"/>
        <v>ESTATÍSTICA I</v>
      </c>
    </row>
    <row r="10">
      <c r="A10" s="21" t="s">
        <v>135</v>
      </c>
      <c r="B10" s="21" t="s">
        <v>137</v>
      </c>
      <c r="C10" s="21"/>
      <c r="D10" s="21" t="s">
        <v>34</v>
      </c>
      <c r="E10" s="21">
        <v>4.0</v>
      </c>
      <c r="F10" s="21">
        <v>60.0</v>
      </c>
      <c r="G10" s="21">
        <v>6.0</v>
      </c>
      <c r="H10" s="22" t="s">
        <v>101</v>
      </c>
      <c r="I10" s="24">
        <f t="shared" si="1"/>
        <v>0</v>
      </c>
      <c r="J10" s="24" t="str">
        <f t="shared" si="2"/>
        <v/>
      </c>
      <c r="K10" s="24" t="str">
        <f t="shared" si="3"/>
        <v>INTRODUÇÃO AO PENSAMENTO SOCIAL</v>
      </c>
    </row>
    <row r="11">
      <c r="A11" s="21" t="s">
        <v>428</v>
      </c>
      <c r="B11" s="21" t="s">
        <v>429</v>
      </c>
      <c r="C11" s="21"/>
      <c r="D11" s="21" t="s">
        <v>34</v>
      </c>
      <c r="E11" s="21">
        <v>4.0</v>
      </c>
      <c r="F11" s="21">
        <v>60.0</v>
      </c>
      <c r="G11" s="21">
        <v>15.0</v>
      </c>
      <c r="H11" s="22" t="s">
        <v>101</v>
      </c>
      <c r="I11" s="24">
        <f t="shared" si="1"/>
        <v>0</v>
      </c>
      <c r="J11" s="24" t="str">
        <f t="shared" si="2"/>
        <v/>
      </c>
      <c r="K11" s="24" t="str">
        <f t="shared" si="3"/>
        <v>MARKETING E SATISFAÇÃO DO CLIENTE EM SERVIÇOS</v>
      </c>
    </row>
    <row r="12">
      <c r="A12" s="21" t="s">
        <v>180</v>
      </c>
      <c r="B12" s="21" t="s">
        <v>181</v>
      </c>
      <c r="C12" s="21"/>
      <c r="D12" s="21" t="s">
        <v>34</v>
      </c>
      <c r="E12" s="21">
        <v>4.0</v>
      </c>
      <c r="F12" s="21">
        <v>60.0</v>
      </c>
      <c r="G12" s="21">
        <v>6.0</v>
      </c>
      <c r="H12" s="22" t="s">
        <v>167</v>
      </c>
      <c r="I12" s="24">
        <f t="shared" si="1"/>
        <v>0</v>
      </c>
      <c r="J12" s="24" t="str">
        <f t="shared" si="2"/>
        <v/>
      </c>
      <c r="K12" s="24" t="str">
        <f t="shared" si="3"/>
        <v>DEMOGRAFIA</v>
      </c>
    </row>
    <row r="13">
      <c r="A13" s="21" t="s">
        <v>667</v>
      </c>
      <c r="B13" s="21" t="s">
        <v>668</v>
      </c>
      <c r="C13" s="21"/>
      <c r="D13" s="21" t="s">
        <v>34</v>
      </c>
      <c r="E13" s="21">
        <v>4.0</v>
      </c>
      <c r="F13" s="21">
        <v>60.0</v>
      </c>
      <c r="G13" s="21">
        <v>6.0</v>
      </c>
      <c r="H13" s="22" t="s">
        <v>167</v>
      </c>
      <c r="I13" s="24">
        <f t="shared" si="1"/>
        <v>0</v>
      </c>
      <c r="J13" s="24" t="str">
        <f t="shared" si="2"/>
        <v/>
      </c>
      <c r="K13" s="24" t="str">
        <f t="shared" si="3"/>
        <v>DESENVOLVIMENTO REGIONAL E ORDENAMENTO ESPACIAL</v>
      </c>
    </row>
    <row r="14">
      <c r="A14" s="21" t="s">
        <v>690</v>
      </c>
      <c r="B14" s="21" t="s">
        <v>691</v>
      </c>
      <c r="C14" s="21"/>
      <c r="D14" s="21" t="s">
        <v>34</v>
      </c>
      <c r="E14" s="21">
        <v>4.0</v>
      </c>
      <c r="F14" s="21">
        <v>60.0</v>
      </c>
      <c r="G14" s="21">
        <v>6.0</v>
      </c>
      <c r="H14" s="22" t="s">
        <v>167</v>
      </c>
      <c r="I14" s="24">
        <f t="shared" si="1"/>
        <v>0</v>
      </c>
      <c r="J14" s="24" t="str">
        <f t="shared" si="2"/>
        <v/>
      </c>
      <c r="K14" s="24" t="str">
        <f t="shared" si="3"/>
        <v>GOVERNANÇA, CIDADANIA E PARTICIPAÇÃO POPULAR</v>
      </c>
    </row>
    <row r="15">
      <c r="A15" s="21" t="s">
        <v>278</v>
      </c>
      <c r="B15" s="21" t="s">
        <v>280</v>
      </c>
      <c r="C15" s="21"/>
      <c r="D15" s="21" t="s">
        <v>34</v>
      </c>
      <c r="E15" s="21">
        <v>4.0</v>
      </c>
      <c r="F15" s="21">
        <v>60.0</v>
      </c>
      <c r="G15" s="21">
        <v>15.0</v>
      </c>
      <c r="H15" s="22" t="s">
        <v>167</v>
      </c>
      <c r="I15" s="24">
        <f t="shared" si="1"/>
        <v>0</v>
      </c>
      <c r="J15" s="24" t="str">
        <f t="shared" si="2"/>
        <v/>
      </c>
      <c r="K15" s="24" t="str">
        <f t="shared" si="3"/>
        <v>LIDERANÇA E EMPREENDEDORISMO</v>
      </c>
    </row>
    <row r="16">
      <c r="A16" s="21" t="s">
        <v>154</v>
      </c>
      <c r="B16" s="21" t="s">
        <v>155</v>
      </c>
      <c r="C16" s="21"/>
      <c r="D16" s="21" t="s">
        <v>34</v>
      </c>
      <c r="E16" s="21">
        <v>4.0</v>
      </c>
      <c r="F16" s="21">
        <v>60.0</v>
      </c>
      <c r="G16" s="21">
        <v>6.0</v>
      </c>
      <c r="H16" s="22" t="s">
        <v>167</v>
      </c>
      <c r="I16" s="24">
        <f t="shared" si="1"/>
        <v>0</v>
      </c>
      <c r="J16" s="24" t="str">
        <f t="shared" si="2"/>
        <v/>
      </c>
      <c r="K16" s="24" t="str">
        <f t="shared" si="3"/>
        <v>TEORIAS DO DESENVOLVIMENTO</v>
      </c>
    </row>
    <row r="17">
      <c r="A17" s="21" t="s">
        <v>159</v>
      </c>
      <c r="B17" s="21" t="s">
        <v>160</v>
      </c>
      <c r="C17" s="21"/>
      <c r="D17" s="21" t="s">
        <v>34</v>
      </c>
      <c r="E17" s="21">
        <v>4.0</v>
      </c>
      <c r="F17" s="21">
        <v>60.0</v>
      </c>
      <c r="G17" s="21">
        <v>6.0</v>
      </c>
      <c r="H17" s="22" t="s">
        <v>167</v>
      </c>
      <c r="I17" s="24">
        <f t="shared" si="1"/>
        <v>0</v>
      </c>
      <c r="J17" s="24" t="str">
        <f t="shared" si="2"/>
        <v/>
      </c>
      <c r="K17" s="24" t="str">
        <f t="shared" si="3"/>
        <v>TRANSFORMAÇÕES SOCIOCULTURAIS E DESENVOLVIMENTO REGIONAL</v>
      </c>
    </row>
    <row r="18">
      <c r="A18" s="21" t="s">
        <v>251</v>
      </c>
      <c r="B18" s="21" t="s">
        <v>592</v>
      </c>
      <c r="C18" s="21"/>
      <c r="D18" s="21" t="s">
        <v>34</v>
      </c>
      <c r="E18" s="21">
        <v>4.0</v>
      </c>
      <c r="F18" s="21">
        <v>60.0</v>
      </c>
      <c r="G18" s="21">
        <v>15.0</v>
      </c>
      <c r="H18" s="22" t="s">
        <v>233</v>
      </c>
      <c r="I18" s="24">
        <f t="shared" si="1"/>
        <v>0</v>
      </c>
      <c r="J18" s="24" t="str">
        <f t="shared" si="2"/>
        <v/>
      </c>
      <c r="K18" s="24" t="str">
        <f t="shared" si="3"/>
        <v>CARTOGRAFIA TEMÁTICA E DIGITAL - A</v>
      </c>
    </row>
    <row r="19">
      <c r="A19" s="21" t="s">
        <v>185</v>
      </c>
      <c r="B19" s="21" t="s">
        <v>738</v>
      </c>
      <c r="C19" s="21"/>
      <c r="D19" s="21" t="s">
        <v>34</v>
      </c>
      <c r="E19" s="21">
        <v>4.0</v>
      </c>
      <c r="F19" s="21">
        <v>60.0</v>
      </c>
      <c r="G19" s="21">
        <v>6.0</v>
      </c>
      <c r="H19" s="22" t="s">
        <v>233</v>
      </c>
      <c r="I19" s="24">
        <f t="shared" si="1"/>
        <v>1</v>
      </c>
      <c r="J19" s="24" t="str">
        <f t="shared" si="2"/>
        <v>
 - DIL01120 - TEORIAS DO DESENVOLVIMENTO</v>
      </c>
      <c r="K19" s="24" t="str">
        <f t="shared" si="3"/>
        <v>DESENVOLVIMENTO REGIONAL</v>
      </c>
    </row>
    <row r="20">
      <c r="A20" s="21" t="s">
        <v>241</v>
      </c>
      <c r="B20" s="21" t="s">
        <v>243</v>
      </c>
      <c r="C20" s="21"/>
      <c r="D20" s="21" t="s">
        <v>34</v>
      </c>
      <c r="E20" s="21">
        <v>4.0</v>
      </c>
      <c r="F20" s="21">
        <v>60.0</v>
      </c>
      <c r="G20" s="21">
        <v>9.0</v>
      </c>
      <c r="H20" s="22" t="s">
        <v>233</v>
      </c>
      <c r="I20" s="24">
        <f t="shared" si="1"/>
        <v>0</v>
      </c>
      <c r="J20" s="24" t="str">
        <f t="shared" si="2"/>
        <v/>
      </c>
      <c r="K20" s="24" t="str">
        <f t="shared" si="3"/>
        <v>DESENVOLVIMENTO RURAL</v>
      </c>
    </row>
    <row r="21">
      <c r="A21" s="21" t="s">
        <v>226</v>
      </c>
      <c r="B21" s="21" t="s">
        <v>227</v>
      </c>
      <c r="C21" s="21"/>
      <c r="D21" s="21" t="s">
        <v>34</v>
      </c>
      <c r="E21" s="21">
        <v>4.0</v>
      </c>
      <c r="F21" s="21">
        <v>60.0</v>
      </c>
      <c r="G21" s="21">
        <v>12.0</v>
      </c>
      <c r="H21" s="22" t="s">
        <v>233</v>
      </c>
      <c r="I21" s="24">
        <f t="shared" si="1"/>
        <v>0</v>
      </c>
      <c r="J21" s="24" t="str">
        <f t="shared" si="2"/>
        <v/>
      </c>
      <c r="K21" s="24" t="str">
        <f t="shared" si="3"/>
        <v>POLÍTICAS PÚBLICAS DO DESENVOLVIMENTO REGIONAL</v>
      </c>
    </row>
    <row r="22">
      <c r="A22" s="21" t="s">
        <v>285</v>
      </c>
      <c r="B22" s="21" t="s">
        <v>286</v>
      </c>
      <c r="C22" s="21"/>
      <c r="D22" s="21" t="s">
        <v>34</v>
      </c>
      <c r="E22" s="21">
        <v>4.0</v>
      </c>
      <c r="F22" s="21">
        <v>60.0</v>
      </c>
      <c r="G22" s="21">
        <v>6.0</v>
      </c>
      <c r="H22" s="22" t="s">
        <v>233</v>
      </c>
      <c r="I22" s="24">
        <f t="shared" si="1"/>
        <v>0</v>
      </c>
      <c r="J22" s="24" t="str">
        <f t="shared" si="2"/>
        <v/>
      </c>
      <c r="K22" s="24" t="str">
        <f t="shared" si="3"/>
        <v>PROCESSOS DE CONSTRUÇÃO DE IDENTIDADES</v>
      </c>
    </row>
    <row r="23">
      <c r="A23" s="21" t="s">
        <v>350</v>
      </c>
      <c r="B23" s="21" t="s">
        <v>351</v>
      </c>
      <c r="C23" s="21"/>
      <c r="D23" s="21" t="s">
        <v>34</v>
      </c>
      <c r="E23" s="21">
        <v>4.0</v>
      </c>
      <c r="F23" s="21">
        <v>60.0</v>
      </c>
      <c r="G23" s="21">
        <v>6.0</v>
      </c>
      <c r="H23" s="22" t="s">
        <v>233</v>
      </c>
      <c r="I23" s="24">
        <f t="shared" si="1"/>
        <v>0</v>
      </c>
      <c r="J23" s="24" t="str">
        <f t="shared" si="2"/>
        <v/>
      </c>
      <c r="K23" s="24" t="str">
        <f t="shared" si="3"/>
        <v>PROJETOS INTEGRADOS DE GESTÃO ESPACIAL</v>
      </c>
    </row>
    <row r="24">
      <c r="A24" s="21" t="s">
        <v>303</v>
      </c>
      <c r="B24" s="21" t="s">
        <v>305</v>
      </c>
      <c r="C24" s="21"/>
      <c r="D24" s="21" t="s">
        <v>34</v>
      </c>
      <c r="E24" s="21">
        <v>4.0</v>
      </c>
      <c r="F24" s="21">
        <v>60.0</v>
      </c>
      <c r="G24" s="21">
        <v>6.0</v>
      </c>
      <c r="H24" s="22" t="s">
        <v>300</v>
      </c>
      <c r="I24" s="24">
        <f t="shared" si="1"/>
        <v>0</v>
      </c>
      <c r="J24" s="24" t="str">
        <f t="shared" si="2"/>
        <v/>
      </c>
      <c r="K24" s="24" t="str">
        <f t="shared" si="3"/>
        <v>ECONOMIA E AMBIENTE</v>
      </c>
    </row>
    <row r="25">
      <c r="A25" s="21" t="s">
        <v>308</v>
      </c>
      <c r="B25" s="21" t="s">
        <v>309</v>
      </c>
      <c r="C25" s="21"/>
      <c r="D25" s="21" t="s">
        <v>34</v>
      </c>
      <c r="E25" s="21">
        <v>4.0</v>
      </c>
      <c r="F25" s="21">
        <v>60.0</v>
      </c>
      <c r="G25" s="21">
        <v>6.0</v>
      </c>
      <c r="H25" s="22" t="s">
        <v>300</v>
      </c>
      <c r="I25" s="24">
        <f t="shared" si="1"/>
        <v>0</v>
      </c>
      <c r="J25" s="24" t="str">
        <f t="shared" si="2"/>
        <v/>
      </c>
      <c r="K25" s="24" t="str">
        <f t="shared" si="3"/>
        <v>ESCALAS DE ANÁLISE REGIONAL E TERRITORIAL</v>
      </c>
    </row>
    <row r="26">
      <c r="A26" s="21" t="s">
        <v>679</v>
      </c>
      <c r="B26" s="21" t="s">
        <v>680</v>
      </c>
      <c r="C26" s="21"/>
      <c r="D26" s="21" t="s">
        <v>34</v>
      </c>
      <c r="E26" s="21">
        <v>4.0</v>
      </c>
      <c r="F26" s="21">
        <v>60.0</v>
      </c>
      <c r="G26" s="21">
        <v>12.0</v>
      </c>
      <c r="H26" s="22" t="s">
        <v>300</v>
      </c>
      <c r="I26" s="24">
        <f t="shared" si="1"/>
        <v>0</v>
      </c>
      <c r="J26" s="24" t="str">
        <f t="shared" si="2"/>
        <v/>
      </c>
      <c r="K26" s="24" t="str">
        <f t="shared" si="3"/>
        <v>ETNODESENVOLVIMENTO E MEDIAÇÕES POLÍTICO-CULTURAIS</v>
      </c>
    </row>
    <row r="27">
      <c r="A27" s="21" t="s">
        <v>704</v>
      </c>
      <c r="B27" s="21" t="s">
        <v>705</v>
      </c>
      <c r="C27" s="21"/>
      <c r="D27" s="21" t="s">
        <v>34</v>
      </c>
      <c r="E27" s="21">
        <v>4.0</v>
      </c>
      <c r="F27" s="21">
        <v>60.0</v>
      </c>
      <c r="G27" s="21">
        <v>6.0</v>
      </c>
      <c r="H27" s="22" t="s">
        <v>300</v>
      </c>
      <c r="I27" s="24">
        <f t="shared" si="1"/>
        <v>0</v>
      </c>
      <c r="J27" s="24" t="str">
        <f t="shared" si="2"/>
        <v/>
      </c>
      <c r="K27" s="24" t="str">
        <f t="shared" si="3"/>
        <v>MOVIMENTOS SOCIAIS E AÇÃO COLETIVA</v>
      </c>
    </row>
    <row r="28">
      <c r="A28" s="21" t="s">
        <v>708</v>
      </c>
      <c r="B28" s="21" t="s">
        <v>709</v>
      </c>
      <c r="C28" s="21"/>
      <c r="D28" s="21" t="s">
        <v>34</v>
      </c>
      <c r="E28" s="21">
        <v>4.0</v>
      </c>
      <c r="F28" s="21">
        <v>60.0</v>
      </c>
      <c r="G28" s="21">
        <v>6.0</v>
      </c>
      <c r="H28" s="22" t="s">
        <v>300</v>
      </c>
      <c r="I28" s="24">
        <f t="shared" si="1"/>
        <v>0</v>
      </c>
      <c r="J28" s="24" t="str">
        <f t="shared" si="2"/>
        <v/>
      </c>
      <c r="K28" s="24" t="str">
        <f t="shared" si="3"/>
        <v>NATUREZA, SOCIEDADE E DESENVOLVIMENTO</v>
      </c>
    </row>
    <row r="29">
      <c r="A29" s="21" t="s">
        <v>358</v>
      </c>
      <c r="B29" s="21" t="s">
        <v>360</v>
      </c>
      <c r="C29" s="21"/>
      <c r="D29" s="21" t="s">
        <v>34</v>
      </c>
      <c r="E29" s="21">
        <v>4.0</v>
      </c>
      <c r="F29" s="21">
        <v>60.0</v>
      </c>
      <c r="G29" s="21">
        <v>6.0</v>
      </c>
      <c r="H29" s="22" t="s">
        <v>355</v>
      </c>
      <c r="I29" s="24">
        <f t="shared" si="1"/>
        <v>0</v>
      </c>
      <c r="J29" s="24" t="str">
        <f t="shared" si="2"/>
        <v/>
      </c>
      <c r="K29" s="24" t="str">
        <f t="shared" si="3"/>
        <v>ANÁLISES GLOBAIS E POLÍTICAS REGIONAIS</v>
      </c>
    </row>
    <row r="30">
      <c r="A30" s="21" t="s">
        <v>686</v>
      </c>
      <c r="B30" s="21" t="s">
        <v>687</v>
      </c>
      <c r="C30" s="21"/>
      <c r="D30" s="21" t="s">
        <v>34</v>
      </c>
      <c r="E30" s="21">
        <v>4.0</v>
      </c>
      <c r="F30" s="21">
        <v>60.0</v>
      </c>
      <c r="G30" s="21">
        <v>6.0</v>
      </c>
      <c r="H30" s="22" t="s">
        <v>355</v>
      </c>
      <c r="I30" s="24">
        <f t="shared" si="1"/>
        <v>0</v>
      </c>
      <c r="J30" s="24" t="str">
        <f t="shared" si="2"/>
        <v/>
      </c>
      <c r="K30" s="24" t="str">
        <f t="shared" si="3"/>
        <v>GESTÃO AMBIENTAL - QUESTÃO AMBIENTAL: ESTRATÉGIAS, PROJETOS E POLÍTICAS</v>
      </c>
    </row>
    <row r="31">
      <c r="A31" s="21" t="s">
        <v>565</v>
      </c>
      <c r="B31" s="21" t="s">
        <v>759</v>
      </c>
      <c r="C31" s="21"/>
      <c r="D31" s="21" t="s">
        <v>34</v>
      </c>
      <c r="E31" s="21">
        <v>4.0</v>
      </c>
      <c r="F31" s="21">
        <v>60.0</v>
      </c>
      <c r="G31" s="21">
        <v>0.0</v>
      </c>
      <c r="H31" s="22" t="s">
        <v>355</v>
      </c>
      <c r="I31" s="24">
        <f t="shared" si="1"/>
        <v>0</v>
      </c>
      <c r="J31" s="24" t="str">
        <f t="shared" si="2"/>
        <v/>
      </c>
      <c r="K31" s="24" t="str">
        <f t="shared" si="3"/>
        <v>GESTÃO DE PESSOAS - CLN</v>
      </c>
    </row>
    <row r="32">
      <c r="A32" s="21" t="s">
        <v>716</v>
      </c>
      <c r="B32" s="21" t="s">
        <v>760</v>
      </c>
      <c r="C32" s="21"/>
      <c r="D32" s="21" t="s">
        <v>34</v>
      </c>
      <c r="E32" s="21">
        <v>4.0</v>
      </c>
      <c r="F32" s="21">
        <v>60.0</v>
      </c>
      <c r="G32" s="21">
        <v>6.0</v>
      </c>
      <c r="H32" s="22" t="s">
        <v>355</v>
      </c>
      <c r="I32" s="24">
        <f t="shared" si="1"/>
        <v>1</v>
      </c>
      <c r="J32" s="24" t="str">
        <f t="shared" si="2"/>
        <v>
 - DIL01118 - INTRODUÇÃO AO PENSAMENTO SOCIAL</v>
      </c>
      <c r="K32" s="24" t="str">
        <f t="shared" si="3"/>
        <v>PENSAMENTO SOCIAL BRASILEIRO</v>
      </c>
    </row>
    <row r="33">
      <c r="A33" s="21" t="s">
        <v>409</v>
      </c>
      <c r="B33" s="21" t="s">
        <v>410</v>
      </c>
      <c r="C33" s="21"/>
      <c r="D33" s="21" t="s">
        <v>34</v>
      </c>
      <c r="E33" s="21">
        <v>4.0</v>
      </c>
      <c r="F33" s="21">
        <v>60.0</v>
      </c>
      <c r="G33" s="21">
        <v>6.0</v>
      </c>
      <c r="H33" s="22" t="s">
        <v>355</v>
      </c>
      <c r="I33" s="24">
        <f t="shared" si="1"/>
        <v>0</v>
      </c>
      <c r="J33" s="24" t="str">
        <f t="shared" si="2"/>
        <v/>
      </c>
      <c r="K33" s="24" t="str">
        <f t="shared" si="3"/>
        <v>SISTEMAS COMPLEXOS E DESENVOLVIMENTO REGIONAL</v>
      </c>
    </row>
    <row r="34">
      <c r="A34" s="21" t="s">
        <v>583</v>
      </c>
      <c r="B34" s="21" t="s">
        <v>585</v>
      </c>
      <c r="C34" s="21"/>
      <c r="D34" s="21" t="s">
        <v>34</v>
      </c>
      <c r="E34" s="21">
        <v>4.0</v>
      </c>
      <c r="F34" s="21">
        <v>60.0</v>
      </c>
      <c r="G34" s="21">
        <v>12.0</v>
      </c>
      <c r="H34" s="22" t="s">
        <v>355</v>
      </c>
      <c r="I34" s="24">
        <f t="shared" si="1"/>
        <v>0</v>
      </c>
      <c r="J34" s="24" t="str">
        <f t="shared" si="2"/>
        <v/>
      </c>
      <c r="K34" s="24" t="str">
        <f t="shared" si="3"/>
        <v>TRABALHO DE CAMPO INTEGRADO</v>
      </c>
    </row>
    <row r="35">
      <c r="A35" s="21" t="s">
        <v>658</v>
      </c>
      <c r="B35" s="21" t="s">
        <v>659</v>
      </c>
      <c r="C35" s="21"/>
      <c r="D35" s="21" t="s">
        <v>34</v>
      </c>
      <c r="E35" s="21">
        <v>4.0</v>
      </c>
      <c r="F35" s="21">
        <v>60.0</v>
      </c>
      <c r="G35" s="21">
        <v>6.0</v>
      </c>
      <c r="H35" s="22" t="s">
        <v>417</v>
      </c>
      <c r="I35" s="24">
        <f t="shared" si="1"/>
        <v>0</v>
      </c>
      <c r="J35" s="24" t="str">
        <f t="shared" si="2"/>
        <v/>
      </c>
      <c r="K35" s="24" t="str">
        <f t="shared" si="3"/>
        <v>AGROECOLOGIA E ALIMENTOS TRADICIONAIS</v>
      </c>
    </row>
    <row r="36">
      <c r="A36" s="21" t="s">
        <v>246</v>
      </c>
      <c r="B36" s="21" t="s">
        <v>247</v>
      </c>
      <c r="C36" s="21"/>
      <c r="D36" s="21" t="s">
        <v>34</v>
      </c>
      <c r="E36" s="21">
        <v>4.0</v>
      </c>
      <c r="F36" s="21">
        <v>60.0</v>
      </c>
      <c r="G36" s="21">
        <v>6.0</v>
      </c>
      <c r="H36" s="22" t="s">
        <v>417</v>
      </c>
      <c r="I36" s="24">
        <f t="shared" si="1"/>
        <v>0</v>
      </c>
      <c r="J36" s="24" t="str">
        <f t="shared" si="2"/>
        <v/>
      </c>
      <c r="K36" s="24" t="str">
        <f t="shared" si="3"/>
        <v>ECONOMIA POLÍTICA DO DESENVOLVIMENTO NO BRASIL</v>
      </c>
    </row>
    <row r="37">
      <c r="A37" s="21" t="s">
        <v>390</v>
      </c>
      <c r="B37" s="21" t="s">
        <v>391</v>
      </c>
      <c r="C37" s="21"/>
      <c r="D37" s="21" t="s">
        <v>34</v>
      </c>
      <c r="E37" s="21">
        <v>4.0</v>
      </c>
      <c r="F37" s="21">
        <v>60.0</v>
      </c>
      <c r="G37" s="21">
        <v>12.0</v>
      </c>
      <c r="H37" s="22" t="s">
        <v>417</v>
      </c>
      <c r="I37" s="24">
        <f t="shared" si="1"/>
        <v>0</v>
      </c>
      <c r="J37" s="24" t="str">
        <f t="shared" si="2"/>
        <v/>
      </c>
      <c r="K37" s="24" t="str">
        <f t="shared" si="3"/>
        <v>GESTÃO E PLANEJAMENTO PARA O DESENVOLVIMENTO REGIONAL</v>
      </c>
    </row>
    <row r="38">
      <c r="A38" s="21" t="s">
        <v>718</v>
      </c>
      <c r="B38" s="21" t="s">
        <v>719</v>
      </c>
      <c r="C38" s="21"/>
      <c r="D38" s="21" t="s">
        <v>34</v>
      </c>
      <c r="E38" s="21">
        <v>4.0</v>
      </c>
      <c r="F38" s="21">
        <v>60.0</v>
      </c>
      <c r="G38" s="21">
        <v>6.0</v>
      </c>
      <c r="H38" s="22" t="s">
        <v>417</v>
      </c>
      <c r="I38" s="24">
        <f t="shared" si="1"/>
        <v>0</v>
      </c>
      <c r="J38" s="24" t="str">
        <f t="shared" si="2"/>
        <v/>
      </c>
      <c r="K38" s="24" t="str">
        <f t="shared" si="3"/>
        <v>PESQUISA QUALITATIVA I</v>
      </c>
    </row>
    <row r="39">
      <c r="A39" s="21" t="s">
        <v>722</v>
      </c>
      <c r="B39" s="21" t="s">
        <v>761</v>
      </c>
      <c r="C39" s="21"/>
      <c r="D39" s="21" t="s">
        <v>34</v>
      </c>
      <c r="E39" s="21">
        <v>4.0</v>
      </c>
      <c r="F39" s="21">
        <v>60.0</v>
      </c>
      <c r="G39" s="21">
        <v>6.0</v>
      </c>
      <c r="H39" s="22" t="s">
        <v>417</v>
      </c>
      <c r="I39" s="24">
        <f t="shared" si="1"/>
        <v>1</v>
      </c>
      <c r="J39" s="24" t="str">
        <f t="shared" si="2"/>
        <v>
 - DIL01112 - ESTATÍSTICA I</v>
      </c>
      <c r="K39" s="24" t="str">
        <f t="shared" si="3"/>
        <v>PESQUISA QUANTITATIVA I</v>
      </c>
    </row>
    <row r="40">
      <c r="A40" s="21" t="s">
        <v>720</v>
      </c>
      <c r="B40" s="21" t="s">
        <v>762</v>
      </c>
      <c r="C40" s="21"/>
      <c r="D40" s="21" t="s">
        <v>34</v>
      </c>
      <c r="E40" s="21">
        <v>4.0</v>
      </c>
      <c r="F40" s="21">
        <v>60.0</v>
      </c>
      <c r="G40" s="21">
        <v>6.0</v>
      </c>
      <c r="H40" s="22" t="s">
        <v>453</v>
      </c>
      <c r="I40" s="24">
        <f t="shared" si="1"/>
        <v>1</v>
      </c>
      <c r="J40" s="24" t="str">
        <f t="shared" si="2"/>
        <v>
 - DIL01215 - PESQUISA QUALITATIVA I</v>
      </c>
      <c r="K40" s="24" t="str">
        <f t="shared" si="3"/>
        <v>PESQUISA QUALITATIVA II</v>
      </c>
    </row>
    <row r="41">
      <c r="A41" s="21" t="s">
        <v>724</v>
      </c>
      <c r="B41" s="21" t="s">
        <v>763</v>
      </c>
      <c r="C41" s="21"/>
      <c r="D41" s="21" t="s">
        <v>34</v>
      </c>
      <c r="E41" s="21">
        <v>4.0</v>
      </c>
      <c r="F41" s="21">
        <v>60.0</v>
      </c>
      <c r="G41" s="21">
        <v>6.0</v>
      </c>
      <c r="H41" s="22" t="s">
        <v>453</v>
      </c>
      <c r="I41" s="24">
        <f t="shared" si="1"/>
        <v>1</v>
      </c>
      <c r="J41" s="24" t="str">
        <f t="shared" si="2"/>
        <v>
 - DIL01216 - PESQUISA QUANTITATIVA I</v>
      </c>
      <c r="K41" s="24" t="str">
        <f t="shared" si="3"/>
        <v>PESQUISA QUANTITATIVA II</v>
      </c>
    </row>
    <row r="42">
      <c r="A42" s="21" t="s">
        <v>728</v>
      </c>
      <c r="B42" s="21" t="s">
        <v>729</v>
      </c>
      <c r="C42" s="21"/>
      <c r="D42" s="21" t="s">
        <v>34</v>
      </c>
      <c r="E42" s="21">
        <v>4.0</v>
      </c>
      <c r="F42" s="21">
        <v>60.0</v>
      </c>
      <c r="G42" s="21">
        <v>30.0</v>
      </c>
      <c r="H42" s="22" t="s">
        <v>453</v>
      </c>
      <c r="I42" s="24">
        <f t="shared" si="1"/>
        <v>0</v>
      </c>
      <c r="J42" s="24" t="str">
        <f t="shared" si="2"/>
        <v/>
      </c>
      <c r="K42" s="24" t="str">
        <f t="shared" si="3"/>
        <v>PLANEJAMENTO, ELABORAÇÃO E GERENCIAMENTO DE PROJETOS PARA O DESENVOLVIMENTO REGIONAL</v>
      </c>
    </row>
    <row r="43">
      <c r="B43" s="21" t="s">
        <v>764</v>
      </c>
      <c r="C43" s="21"/>
      <c r="D43" s="21" t="s">
        <v>34</v>
      </c>
      <c r="E43" s="21">
        <v>0.0</v>
      </c>
      <c r="F43" s="21">
        <v>60.0</v>
      </c>
      <c r="G43" s="21">
        <v>0.0</v>
      </c>
      <c r="H43" s="22" t="s">
        <v>453</v>
      </c>
      <c r="I43" s="24">
        <f t="shared" si="1"/>
        <v>1</v>
      </c>
      <c r="J43" s="24" t="str">
        <f t="shared" si="2"/>
        <v>
 - Créditos Obrigatórios - 140</v>
      </c>
      <c r="K43" s="24" t="str">
        <f t="shared" si="3"/>
        <v>PROJETO DE TRABALHO DE CONCLUSÃO DE CURSO (TCC) - DR</v>
      </c>
    </row>
    <row r="44">
      <c r="A44" s="21" t="s">
        <v>745</v>
      </c>
      <c r="B44" s="21" t="s">
        <v>746</v>
      </c>
      <c r="C44" s="21"/>
      <c r="D44" s="21" t="s">
        <v>34</v>
      </c>
      <c r="E44" s="21">
        <v>4.0</v>
      </c>
      <c r="F44" s="21">
        <v>60.0</v>
      </c>
      <c r="G44" s="21">
        <v>6.0</v>
      </c>
      <c r="H44" s="22" t="s">
        <v>453</v>
      </c>
      <c r="I44" s="24">
        <f t="shared" si="1"/>
        <v>0</v>
      </c>
      <c r="J44" s="24" t="str">
        <f t="shared" si="2"/>
        <v/>
      </c>
      <c r="K44" s="24" t="str">
        <f t="shared" si="3"/>
        <v>TEORIAS, ESTRATÉGIAS E PRÁTICAS EM METODOLOGIAS PARTICIPATIVAS</v>
      </c>
    </row>
    <row r="45">
      <c r="B45" s="21" t="s">
        <v>765</v>
      </c>
      <c r="C45" s="21"/>
      <c r="D45" s="21" t="s">
        <v>34</v>
      </c>
      <c r="E45" s="21">
        <v>0.0</v>
      </c>
      <c r="F45" s="21">
        <v>120.0</v>
      </c>
      <c r="G45" s="21">
        <v>0.0</v>
      </c>
      <c r="H45" s="22" t="s">
        <v>479</v>
      </c>
      <c r="I45" s="24">
        <f t="shared" si="1"/>
        <v>1</v>
      </c>
      <c r="J45" s="24" t="str">
        <f t="shared" si="2"/>
        <v>
 - Créditos Obrigatórios - 140</v>
      </c>
      <c r="K45" s="24" t="str">
        <f t="shared" si="3"/>
        <v>ESTÁGIO OBRIGATÓRIO - DR</v>
      </c>
    </row>
    <row r="46">
      <c r="B46" s="21" t="s">
        <v>766</v>
      </c>
      <c r="C46" s="21"/>
      <c r="D46" s="21" t="s">
        <v>34</v>
      </c>
      <c r="E46" s="21">
        <v>0.0</v>
      </c>
      <c r="F46" s="21">
        <v>180.0</v>
      </c>
      <c r="G46" s="21">
        <v>0.0</v>
      </c>
      <c r="H46" s="22" t="s">
        <v>479</v>
      </c>
      <c r="I46" s="24">
        <f t="shared" si="1"/>
        <v>1</v>
      </c>
      <c r="J46" s="24" t="str">
        <f t="shared" si="2"/>
        <v>
 - TRABALHO - PROJETO DE TRABALHO DE CONCLUSÃO DE CURSO (TCC) - DR</v>
      </c>
      <c r="K46" s="24" t="str">
        <f t="shared" si="3"/>
        <v>TRABALHO DE CONCLUSÃO DE CURSO (TCC) - DR</v>
      </c>
    </row>
    <row r="47">
      <c r="A47" s="21" t="s">
        <v>103</v>
      </c>
      <c r="B47" s="21" t="s">
        <v>104</v>
      </c>
      <c r="C47" s="21"/>
      <c r="D47" s="21" t="s">
        <v>97</v>
      </c>
      <c r="E47" s="21">
        <v>4.0</v>
      </c>
      <c r="F47" s="21">
        <v>60.0</v>
      </c>
      <c r="G47" s="21">
        <v>0.0</v>
      </c>
      <c r="H47" s="22" t="s">
        <v>767</v>
      </c>
      <c r="I47" s="24">
        <f t="shared" si="1"/>
        <v>1</v>
      </c>
      <c r="J47" s="24" t="str">
        <f t="shared" si="2"/>
        <v>
 - DIL01101 - MODELOS MATEMÁTICOS ELEMENTARES</v>
      </c>
      <c r="K47" s="24" t="str">
        <f t="shared" si="3"/>
        <v>CÁLCULO DIFERENCIAL E INTEGRAL I</v>
      </c>
    </row>
    <row r="48">
      <c r="A48" s="21" t="s">
        <v>363</v>
      </c>
      <c r="B48" s="21" t="s">
        <v>364</v>
      </c>
      <c r="C48" s="21"/>
      <c r="D48" s="21" t="s">
        <v>97</v>
      </c>
      <c r="E48" s="21">
        <v>4.0</v>
      </c>
      <c r="F48" s="21">
        <v>60.0</v>
      </c>
      <c r="G48" s="21">
        <v>0.0</v>
      </c>
      <c r="H48" s="22" t="s">
        <v>767</v>
      </c>
      <c r="I48" s="24">
        <f t="shared" si="1"/>
        <v>0</v>
      </c>
      <c r="J48" s="24" t="str">
        <f t="shared" si="2"/>
        <v/>
      </c>
      <c r="K48" s="24" t="str">
        <f t="shared" si="3"/>
        <v>CIÊNCIA, TECNOLOGIA E SOCIEDADE</v>
      </c>
    </row>
    <row r="49">
      <c r="A49" s="21" t="s">
        <v>367</v>
      </c>
      <c r="B49" s="21" t="s">
        <v>494</v>
      </c>
      <c r="C49" s="21"/>
      <c r="D49" s="21" t="s">
        <v>97</v>
      </c>
      <c r="E49" s="21">
        <v>4.0</v>
      </c>
      <c r="F49" s="21">
        <v>60.0</v>
      </c>
      <c r="G49" s="21">
        <v>8.0</v>
      </c>
      <c r="H49" s="22" t="s">
        <v>767</v>
      </c>
      <c r="I49" s="24">
        <f t="shared" si="1"/>
        <v>1</v>
      </c>
      <c r="J49" s="24" t="str">
        <f t="shared" si="2"/>
        <v>
 - DIL01093 - INTRODUÇÃO À DINÂMICA E AOS PROCESSOS DA NATUREZA - B</v>
      </c>
      <c r="K49" s="24" t="str">
        <f t="shared" si="3"/>
        <v>CIÊNCIAS DO AMBIENTE: ENERGIA E MEIO AMBIENTE</v>
      </c>
    </row>
    <row r="50">
      <c r="A50" s="21" t="s">
        <v>467</v>
      </c>
      <c r="B50" s="21" t="s">
        <v>468</v>
      </c>
      <c r="C50" s="21"/>
      <c r="D50" s="21" t="s">
        <v>97</v>
      </c>
      <c r="E50" s="21">
        <v>3.0</v>
      </c>
      <c r="F50" s="21">
        <v>45.0</v>
      </c>
      <c r="G50" s="21">
        <v>0.0</v>
      </c>
      <c r="H50" s="22" t="s">
        <v>767</v>
      </c>
      <c r="I50" s="24">
        <f t="shared" si="1"/>
        <v>0</v>
      </c>
      <c r="J50" s="24" t="str">
        <f t="shared" si="2"/>
        <v/>
      </c>
      <c r="K50" s="24" t="str">
        <f t="shared" si="3"/>
        <v>DESENVOLVIMENTO E PROTOTIPAGEM DE SERVIÇOS</v>
      </c>
    </row>
    <row r="51">
      <c r="A51" s="21" t="s">
        <v>121</v>
      </c>
      <c r="B51" s="21" t="s">
        <v>122</v>
      </c>
      <c r="C51" s="21"/>
      <c r="D51" s="21" t="s">
        <v>97</v>
      </c>
      <c r="E51" s="21">
        <v>4.0</v>
      </c>
      <c r="F51" s="21">
        <v>60.0</v>
      </c>
      <c r="G51" s="21">
        <v>40.0</v>
      </c>
      <c r="H51" s="22" t="s">
        <v>767</v>
      </c>
      <c r="I51" s="24">
        <f t="shared" si="1"/>
        <v>0</v>
      </c>
      <c r="J51" s="24" t="str">
        <f t="shared" si="2"/>
        <v/>
      </c>
      <c r="K51" s="24" t="str">
        <f t="shared" si="3"/>
        <v>ENCONTRO DE SABERES - COMUNIDADES LITORÂNEAS</v>
      </c>
    </row>
    <row r="52">
      <c r="A52" s="21" t="s">
        <v>377</v>
      </c>
      <c r="B52" s="21" t="s">
        <v>378</v>
      </c>
      <c r="C52" s="21"/>
      <c r="D52" s="21" t="s">
        <v>97</v>
      </c>
      <c r="E52" s="21">
        <v>4.0</v>
      </c>
      <c r="F52" s="21">
        <v>60.0</v>
      </c>
      <c r="G52" s="21">
        <v>0.0</v>
      </c>
      <c r="H52" s="22" t="s">
        <v>767</v>
      </c>
      <c r="I52" s="24">
        <f t="shared" si="1"/>
        <v>1</v>
      </c>
      <c r="J52" s="24" t="str">
        <f t="shared" si="2"/>
        <v>
 - DIL01112 - ESTATÍSTICA I</v>
      </c>
      <c r="K52" s="24" t="str">
        <f t="shared" si="3"/>
        <v>ENGENHARIA ECONÔMICA</v>
      </c>
    </row>
    <row r="53">
      <c r="A53" s="21" t="s">
        <v>474</v>
      </c>
      <c r="B53" s="21" t="s">
        <v>676</v>
      </c>
      <c r="C53" s="21"/>
      <c r="D53" s="21" t="s">
        <v>97</v>
      </c>
      <c r="E53" s="21">
        <v>4.0</v>
      </c>
      <c r="F53" s="21">
        <v>60.0</v>
      </c>
      <c r="G53" s="21">
        <v>0.0</v>
      </c>
      <c r="H53" s="22" t="s">
        <v>767</v>
      </c>
      <c r="I53" s="24">
        <f t="shared" si="1"/>
        <v>1</v>
      </c>
      <c r="J53" s="24" t="str">
        <f t="shared" si="2"/>
        <v>
 - DIL01184 - DESENVOLVIMENTO E PROTOTIPAGEM DE SERVIÇOS</v>
      </c>
      <c r="K53" s="24" t="str">
        <f t="shared" si="3"/>
        <v>ESTRATÉGIA EM SERVIÇOS</v>
      </c>
    </row>
    <row r="54">
      <c r="A54" s="21" t="s">
        <v>192</v>
      </c>
      <c r="B54" s="21" t="s">
        <v>193</v>
      </c>
      <c r="C54" s="21"/>
      <c r="D54" s="21" t="s">
        <v>97</v>
      </c>
      <c r="E54" s="21">
        <v>4.0</v>
      </c>
      <c r="F54" s="21">
        <v>60.0</v>
      </c>
      <c r="G54" s="21">
        <v>0.0</v>
      </c>
      <c r="H54" s="22" t="s">
        <v>767</v>
      </c>
      <c r="I54" s="24">
        <f t="shared" si="1"/>
        <v>0</v>
      </c>
      <c r="J54" s="24" t="str">
        <f t="shared" si="2"/>
        <v/>
      </c>
      <c r="K54" s="24" t="str">
        <f t="shared" si="3"/>
        <v>EXPRESSÃO GRÁFICA</v>
      </c>
    </row>
    <row r="55">
      <c r="A55" s="21" t="s">
        <v>381</v>
      </c>
      <c r="B55" s="21" t="s">
        <v>382</v>
      </c>
      <c r="C55" s="21"/>
      <c r="D55" s="21" t="s">
        <v>97</v>
      </c>
      <c r="E55" s="21">
        <v>4.0</v>
      </c>
      <c r="F55" s="21">
        <v>60.0</v>
      </c>
      <c r="G55" s="21">
        <v>0.0</v>
      </c>
      <c r="H55" s="22" t="s">
        <v>767</v>
      </c>
      <c r="I55" s="24">
        <f t="shared" si="1"/>
        <v>0</v>
      </c>
      <c r="J55" s="24" t="str">
        <f t="shared" si="2"/>
        <v/>
      </c>
      <c r="K55" s="24" t="str">
        <f t="shared" si="3"/>
        <v>FILOSOFIA E SOCIOLOGIA DA EDUCAÇÃO</v>
      </c>
    </row>
    <row r="56">
      <c r="A56" s="21" t="s">
        <v>147</v>
      </c>
      <c r="B56" s="21" t="s">
        <v>149</v>
      </c>
      <c r="C56" s="21"/>
      <c r="D56" s="21" t="s">
        <v>97</v>
      </c>
      <c r="E56" s="21">
        <v>4.0</v>
      </c>
      <c r="F56" s="21">
        <v>60.0</v>
      </c>
      <c r="G56" s="21">
        <v>0.0</v>
      </c>
      <c r="H56" s="22" t="s">
        <v>767</v>
      </c>
      <c r="I56" s="24">
        <f t="shared" si="1"/>
        <v>0</v>
      </c>
      <c r="J56" s="24" t="str">
        <f t="shared" si="2"/>
        <v/>
      </c>
      <c r="K56" s="24" t="str">
        <f t="shared" si="3"/>
        <v>FUNDAMENTOS DE FÍSICA</v>
      </c>
    </row>
    <row r="57">
      <c r="A57" s="21" t="s">
        <v>117</v>
      </c>
      <c r="B57" s="21" t="s">
        <v>118</v>
      </c>
      <c r="C57" s="21"/>
      <c r="D57" s="21" t="s">
        <v>97</v>
      </c>
      <c r="E57" s="21">
        <v>2.0</v>
      </c>
      <c r="F57" s="21">
        <v>30.0</v>
      </c>
      <c r="G57" s="21">
        <v>0.0</v>
      </c>
      <c r="H57" s="22" t="s">
        <v>767</v>
      </c>
      <c r="I57" s="24">
        <f t="shared" si="1"/>
        <v>0</v>
      </c>
      <c r="J57" s="24" t="str">
        <f t="shared" si="2"/>
        <v/>
      </c>
      <c r="K57" s="24" t="str">
        <f t="shared" si="3"/>
        <v>FUNDAMENTOS DE GESTÃO DE RECURSOS ENERGÉTICOS</v>
      </c>
    </row>
    <row r="58">
      <c r="A58" s="21" t="s">
        <v>282</v>
      </c>
      <c r="B58" s="21" t="s">
        <v>284</v>
      </c>
      <c r="C58" s="21"/>
      <c r="D58" s="21" t="s">
        <v>97</v>
      </c>
      <c r="E58" s="21">
        <v>4.0</v>
      </c>
      <c r="F58" s="21">
        <v>60.0</v>
      </c>
      <c r="G58" s="21">
        <v>10.0</v>
      </c>
      <c r="H58" s="22" t="s">
        <v>767</v>
      </c>
      <c r="I58" s="24">
        <f t="shared" si="1"/>
        <v>1</v>
      </c>
      <c r="J58" s="24" t="str">
        <f t="shared" si="2"/>
        <v>
 - DIL01133 - GEOMORFOLOGIA E AMBIENTES A</v>
      </c>
      <c r="K58" s="24" t="str">
        <f t="shared" si="3"/>
        <v>FUNDAMENTOS DE METEOROLOGIA E CLIMATOLOGIA A</v>
      </c>
    </row>
    <row r="59">
      <c r="A59" s="21" t="s">
        <v>203</v>
      </c>
      <c r="B59" s="21" t="s">
        <v>204</v>
      </c>
      <c r="C59" s="21"/>
      <c r="D59" s="21" t="s">
        <v>97</v>
      </c>
      <c r="E59" s="21">
        <v>4.0</v>
      </c>
      <c r="F59" s="21">
        <v>60.0</v>
      </c>
      <c r="G59" s="21">
        <v>0.0</v>
      </c>
      <c r="H59" s="22" t="s">
        <v>767</v>
      </c>
      <c r="I59" s="24">
        <f t="shared" si="1"/>
        <v>0</v>
      </c>
      <c r="J59" s="24" t="str">
        <f t="shared" si="2"/>
        <v/>
      </c>
      <c r="K59" s="24" t="str">
        <f t="shared" si="3"/>
        <v>FUNDAMENTOS DE QUÍMICA</v>
      </c>
    </row>
    <row r="60">
      <c r="A60" s="21" t="s">
        <v>533</v>
      </c>
      <c r="B60" s="21" t="s">
        <v>620</v>
      </c>
      <c r="C60" s="21"/>
      <c r="D60" s="21" t="s">
        <v>97</v>
      </c>
      <c r="E60" s="21">
        <v>6.0</v>
      </c>
      <c r="F60" s="21">
        <v>90.0</v>
      </c>
      <c r="G60" s="21">
        <v>15.0</v>
      </c>
      <c r="H60" s="22" t="s">
        <v>767</v>
      </c>
      <c r="I60" s="24">
        <f t="shared" si="1"/>
        <v>0</v>
      </c>
      <c r="J60" s="24" t="str">
        <f t="shared" si="2"/>
        <v/>
      </c>
      <c r="K60" s="24" t="str">
        <f t="shared" si="3"/>
        <v>GEOGRAFIA DO BRASIL A</v>
      </c>
    </row>
    <row r="61">
      <c r="A61" s="21" t="s">
        <v>208</v>
      </c>
      <c r="B61" s="21" t="s">
        <v>209</v>
      </c>
      <c r="C61" s="21"/>
      <c r="D61" s="21" t="s">
        <v>97</v>
      </c>
      <c r="E61" s="21">
        <v>4.0</v>
      </c>
      <c r="F61" s="21">
        <v>60.0</v>
      </c>
      <c r="G61" s="21">
        <v>15.0</v>
      </c>
      <c r="H61" s="22" t="s">
        <v>767</v>
      </c>
      <c r="I61" s="24">
        <f t="shared" si="1"/>
        <v>0</v>
      </c>
      <c r="J61" s="24" t="str">
        <f t="shared" si="2"/>
        <v/>
      </c>
      <c r="K61" s="24" t="str">
        <f t="shared" si="3"/>
        <v>GEOGRAFIA ECONÔMICA E HUMANA A</v>
      </c>
    </row>
    <row r="62">
      <c r="A62" s="21" t="s">
        <v>535</v>
      </c>
      <c r="B62" s="21" t="s">
        <v>621</v>
      </c>
      <c r="C62" s="21"/>
      <c r="D62" s="21" t="s">
        <v>97</v>
      </c>
      <c r="E62" s="21">
        <v>6.0</v>
      </c>
      <c r="F62" s="21">
        <v>90.0</v>
      </c>
      <c r="G62" s="21">
        <v>15.0</v>
      </c>
      <c r="H62" s="22" t="s">
        <v>767</v>
      </c>
      <c r="I62" s="24">
        <f t="shared" si="1"/>
        <v>1</v>
      </c>
      <c r="J62" s="24" t="str">
        <f t="shared" si="2"/>
        <v>
 - DIL01157 - ESCALAS DE ANÁLISE REGIONAL E TERRITORIAL</v>
      </c>
      <c r="K62" s="24" t="str">
        <f t="shared" si="3"/>
        <v>GEOGRAFIA POLÍTICA A</v>
      </c>
    </row>
    <row r="63">
      <c r="A63" s="21" t="s">
        <v>123</v>
      </c>
      <c r="B63" s="21" t="s">
        <v>124</v>
      </c>
      <c r="C63" s="21"/>
      <c r="D63" s="21" t="s">
        <v>97</v>
      </c>
      <c r="E63" s="21">
        <v>3.0</v>
      </c>
      <c r="F63" s="21">
        <v>45.0</v>
      </c>
      <c r="G63" s="21">
        <v>0.0</v>
      </c>
      <c r="H63" s="22" t="s">
        <v>767</v>
      </c>
      <c r="I63" s="24">
        <f t="shared" si="1"/>
        <v>0</v>
      </c>
      <c r="J63" s="24" t="str">
        <f t="shared" si="2"/>
        <v/>
      </c>
      <c r="K63" s="24" t="str">
        <f t="shared" si="3"/>
        <v>GEOLOGIA E RECURSOS MINERAIS PARA ENGENHARIA</v>
      </c>
    </row>
    <row r="64">
      <c r="A64" s="21" t="s">
        <v>170</v>
      </c>
      <c r="B64" s="21" t="s">
        <v>171</v>
      </c>
      <c r="C64" s="21"/>
      <c r="D64" s="21" t="s">
        <v>97</v>
      </c>
      <c r="E64" s="21">
        <v>6.0</v>
      </c>
      <c r="F64" s="21">
        <v>90.0</v>
      </c>
      <c r="G64" s="21">
        <v>0.0</v>
      </c>
      <c r="H64" s="22" t="s">
        <v>767</v>
      </c>
      <c r="I64" s="24">
        <f t="shared" si="1"/>
        <v>0</v>
      </c>
      <c r="J64" s="24" t="str">
        <f t="shared" si="2"/>
        <v/>
      </c>
      <c r="K64" s="24" t="str">
        <f t="shared" si="3"/>
        <v>GEOLOGIA GERAL</v>
      </c>
    </row>
    <row r="65">
      <c r="A65" s="21" t="s">
        <v>312</v>
      </c>
      <c r="B65" s="21" t="s">
        <v>327</v>
      </c>
      <c r="C65" s="21"/>
      <c r="D65" s="21" t="s">
        <v>97</v>
      </c>
      <c r="E65" s="21">
        <v>6.0</v>
      </c>
      <c r="F65" s="21">
        <v>90.0</v>
      </c>
      <c r="G65" s="21">
        <v>15.0</v>
      </c>
      <c r="H65" s="22" t="s">
        <v>767</v>
      </c>
      <c r="I65" s="24">
        <f t="shared" si="1"/>
        <v>0</v>
      </c>
      <c r="J65" s="24" t="str">
        <f t="shared" si="2"/>
        <v/>
      </c>
      <c r="K65" s="24" t="str">
        <f t="shared" si="3"/>
        <v>GEOMORFOLOGIA E AMBIENTES A</v>
      </c>
    </row>
    <row r="66">
      <c r="A66" s="21" t="s">
        <v>484</v>
      </c>
      <c r="B66" s="21" t="s">
        <v>485</v>
      </c>
      <c r="C66" s="21"/>
      <c r="D66" s="21" t="s">
        <v>97</v>
      </c>
      <c r="E66" s="21">
        <v>4.0</v>
      </c>
      <c r="F66" s="21">
        <v>60.0</v>
      </c>
      <c r="G66" s="21">
        <v>0.0</v>
      </c>
      <c r="H66" s="22" t="s">
        <v>767</v>
      </c>
      <c r="I66" s="24">
        <f t="shared" si="1"/>
        <v>1</v>
      </c>
      <c r="J66" s="24" t="str">
        <f t="shared" si="2"/>
        <v>
 - DIL01361 - SENSORIAMENTO REMOTO - A</v>
      </c>
      <c r="K66" s="24" t="str">
        <f t="shared" si="3"/>
        <v>GEOPROCESSAMENTO B</v>
      </c>
    </row>
    <row r="67">
      <c r="A67" s="21" t="s">
        <v>401</v>
      </c>
      <c r="B67" s="21" t="s">
        <v>768</v>
      </c>
      <c r="C67" s="21"/>
      <c r="D67" s="21" t="s">
        <v>97</v>
      </c>
      <c r="E67" s="21">
        <v>6.0</v>
      </c>
      <c r="F67" s="21">
        <v>90.0</v>
      </c>
      <c r="G67" s="21">
        <v>15.0</v>
      </c>
      <c r="H67" s="22" t="s">
        <v>767</v>
      </c>
      <c r="I67" s="24">
        <f t="shared" si="1"/>
        <v>1</v>
      </c>
      <c r="J67" s="24" t="str">
        <f t="shared" si="2"/>
        <v>
 - DIL01133 - GEOMORFOLOGIA E AMBIENTES A</v>
      </c>
      <c r="K67" s="24" t="str">
        <f t="shared" si="3"/>
        <v>HIDROGRAFIA E OCEANOGRAFIA A</v>
      </c>
    </row>
    <row r="68">
      <c r="A68" s="21" t="s">
        <v>442</v>
      </c>
      <c r="B68" s="21" t="s">
        <v>443</v>
      </c>
      <c r="C68" s="21"/>
      <c r="D68" s="21" t="s">
        <v>97</v>
      </c>
      <c r="E68" s="21">
        <v>2.0</v>
      </c>
      <c r="F68" s="21">
        <v>30.0</v>
      </c>
      <c r="G68" s="21">
        <v>0.0</v>
      </c>
      <c r="H68" s="22" t="s">
        <v>767</v>
      </c>
      <c r="I68" s="24">
        <f t="shared" si="1"/>
        <v>0</v>
      </c>
      <c r="J68" s="24" t="str">
        <f t="shared" si="2"/>
        <v/>
      </c>
      <c r="K68" s="24" t="str">
        <f t="shared" si="3"/>
        <v>HISTÓRIA DA EDUCAÇÃO - A</v>
      </c>
    </row>
    <row r="69">
      <c r="A69" s="21" t="s">
        <v>177</v>
      </c>
      <c r="B69" s="21" t="s">
        <v>178</v>
      </c>
      <c r="C69" s="21"/>
      <c r="D69" s="21" t="s">
        <v>97</v>
      </c>
      <c r="E69" s="21">
        <v>4.0</v>
      </c>
      <c r="F69" s="21">
        <v>60.0</v>
      </c>
      <c r="G69" s="21">
        <v>0.0</v>
      </c>
      <c r="H69" s="22" t="s">
        <v>767</v>
      </c>
      <c r="I69" s="24">
        <f t="shared" si="1"/>
        <v>0</v>
      </c>
      <c r="J69" s="24" t="str">
        <f t="shared" si="2"/>
        <v/>
      </c>
      <c r="K69" s="24" t="str">
        <f t="shared" si="3"/>
        <v>HISTÓRIA E FUNDAMENTOS DA GEOGRAFIA - A</v>
      </c>
    </row>
    <row r="70">
      <c r="A70" s="21" t="s">
        <v>187</v>
      </c>
      <c r="B70" s="21" t="s">
        <v>188</v>
      </c>
      <c r="C70" s="21"/>
      <c r="D70" s="21" t="s">
        <v>97</v>
      </c>
      <c r="E70" s="21">
        <v>2.0</v>
      </c>
      <c r="F70" s="21">
        <v>30.0</v>
      </c>
      <c r="G70" s="21">
        <v>30.0</v>
      </c>
      <c r="H70" s="22" t="s">
        <v>767</v>
      </c>
      <c r="I70" s="24">
        <f t="shared" si="1"/>
        <v>0</v>
      </c>
      <c r="J70" s="24" t="str">
        <f t="shared" si="2"/>
        <v/>
      </c>
      <c r="K70" s="24" t="str">
        <f t="shared" si="3"/>
        <v>HORTAS PEDAGÓGICAS: SABERES E PRÁTICAS</v>
      </c>
    </row>
    <row r="71">
      <c r="A71" s="21" t="s">
        <v>126</v>
      </c>
      <c r="B71" s="21" t="s">
        <v>127</v>
      </c>
      <c r="C71" s="21"/>
      <c r="D71" s="21" t="s">
        <v>97</v>
      </c>
      <c r="E71" s="21">
        <v>4.0</v>
      </c>
      <c r="F71" s="21">
        <v>60.0</v>
      </c>
      <c r="G71" s="21">
        <v>0.0</v>
      </c>
      <c r="H71" s="22" t="s">
        <v>767</v>
      </c>
      <c r="I71" s="24">
        <f t="shared" si="1"/>
        <v>1</v>
      </c>
      <c r="J71" s="24" t="str">
        <f t="shared" si="2"/>
        <v>
 - DIL01101 - MODELOS MATEMÁTICOS ELEMENTARES</v>
      </c>
      <c r="K71" s="24" t="str">
        <f t="shared" si="3"/>
        <v>INTRODUÇÃO À ÁLGEBRA LINEAR</v>
      </c>
    </row>
    <row r="72">
      <c r="A72" s="21" t="s">
        <v>17</v>
      </c>
      <c r="B72" s="21" t="s">
        <v>66</v>
      </c>
      <c r="C72" s="21"/>
      <c r="D72" s="21" t="s">
        <v>97</v>
      </c>
      <c r="E72" s="21">
        <v>4.0</v>
      </c>
      <c r="F72" s="21">
        <v>60.0</v>
      </c>
      <c r="G72" s="21">
        <v>0.0</v>
      </c>
      <c r="H72" s="22" t="s">
        <v>767</v>
      </c>
      <c r="I72" s="24">
        <f t="shared" si="1"/>
        <v>0</v>
      </c>
      <c r="J72" s="24" t="str">
        <f t="shared" si="2"/>
        <v/>
      </c>
      <c r="K72" s="24" t="str">
        <f t="shared" si="3"/>
        <v>INTRODUÇÃO À DINÂMICA E AOS PROCESSOS DA NATUREZA - B</v>
      </c>
    </row>
    <row r="73">
      <c r="A73" s="21" t="s">
        <v>131</v>
      </c>
      <c r="B73" s="21" t="s">
        <v>132</v>
      </c>
      <c r="C73" s="21"/>
      <c r="D73" s="21" t="s">
        <v>97</v>
      </c>
      <c r="E73" s="21">
        <v>2.0</v>
      </c>
      <c r="F73" s="21">
        <v>30.0</v>
      </c>
      <c r="G73" s="21">
        <v>0.0</v>
      </c>
      <c r="H73" s="22" t="s">
        <v>767</v>
      </c>
      <c r="I73" s="24">
        <f t="shared" si="1"/>
        <v>0</v>
      </c>
      <c r="J73" s="24" t="str">
        <f t="shared" si="2"/>
        <v/>
      </c>
      <c r="K73" s="24" t="str">
        <f t="shared" si="3"/>
        <v>INTRODUÇÃO À PSICOLOGIA DO DESENVOLVIMENTO E DA APRENDIZAGEM</v>
      </c>
    </row>
    <row r="74">
      <c r="A74" s="21" t="s">
        <v>262</v>
      </c>
      <c r="B74" s="21" t="s">
        <v>411</v>
      </c>
      <c r="C74" s="21"/>
      <c r="D74" s="21" t="s">
        <v>97</v>
      </c>
      <c r="E74" s="21">
        <v>4.0</v>
      </c>
      <c r="F74" s="21">
        <v>60.0</v>
      </c>
      <c r="G74" s="21">
        <v>0.0</v>
      </c>
      <c r="H74" s="22" t="s">
        <v>767</v>
      </c>
      <c r="I74" s="24">
        <f t="shared" si="1"/>
        <v>1</v>
      </c>
      <c r="J74" s="24" t="str">
        <f t="shared" si="2"/>
        <v>
 - DIL01109 - FUNDAMENTOS DE QUÍMICA</v>
      </c>
      <c r="K74" s="24" t="str">
        <f t="shared" si="3"/>
        <v>INTRODUÇÃO À TERMODINÂMICA E ENERGIAS RENOVÁVEIS</v>
      </c>
    </row>
    <row r="75">
      <c r="A75" s="21" t="s">
        <v>323</v>
      </c>
      <c r="B75" s="21" t="s">
        <v>324</v>
      </c>
      <c r="C75" s="21"/>
      <c r="D75" s="21" t="s">
        <v>97</v>
      </c>
      <c r="E75" s="21">
        <v>4.0</v>
      </c>
      <c r="F75" s="21">
        <v>60.0</v>
      </c>
      <c r="G75" s="21">
        <v>0.0</v>
      </c>
      <c r="H75" s="22" t="s">
        <v>767</v>
      </c>
      <c r="I75" s="24">
        <f t="shared" si="1"/>
        <v>0</v>
      </c>
      <c r="J75" s="24" t="str">
        <f t="shared" si="2"/>
        <v/>
      </c>
      <c r="K75" s="24" t="str">
        <f t="shared" si="3"/>
        <v>LÍNGUA BRASILEIRA DE SINAIS - LIBRAS</v>
      </c>
    </row>
    <row r="76">
      <c r="A76" s="21" t="s">
        <v>343</v>
      </c>
      <c r="B76" s="21" t="s">
        <v>344</v>
      </c>
      <c r="C76" s="21"/>
      <c r="D76" s="21" t="s">
        <v>97</v>
      </c>
      <c r="E76" s="21">
        <v>4.0</v>
      </c>
      <c r="F76" s="21">
        <v>60.0</v>
      </c>
      <c r="G76" s="21">
        <v>0.0</v>
      </c>
      <c r="H76" s="22" t="s">
        <v>767</v>
      </c>
      <c r="I76" s="24">
        <f t="shared" si="1"/>
        <v>2</v>
      </c>
      <c r="J76" s="24" t="str">
        <f t="shared" si="2"/>
        <v>
 - DIL01112 - ESTATÍSTICA I
 - e DIL01113 - CÁLCULO DIFERENCIAL E INTEGRAL I</v>
      </c>
      <c r="K76" s="24" t="str">
        <f t="shared" si="3"/>
        <v>PESQUISA OPERACIONAL</v>
      </c>
    </row>
    <row r="77">
      <c r="A77" s="21" t="s">
        <v>148</v>
      </c>
      <c r="B77" s="21" t="s">
        <v>150</v>
      </c>
      <c r="C77" s="21"/>
      <c r="D77" s="21" t="s">
        <v>97</v>
      </c>
      <c r="E77" s="21">
        <v>4.0</v>
      </c>
      <c r="F77" s="21">
        <v>60.0</v>
      </c>
      <c r="G77" s="21">
        <v>15.0</v>
      </c>
      <c r="H77" s="22" t="s">
        <v>767</v>
      </c>
      <c r="I77" s="24">
        <f t="shared" si="1"/>
        <v>0</v>
      </c>
      <c r="J77" s="24" t="str">
        <f t="shared" si="2"/>
        <v/>
      </c>
      <c r="K77" s="24" t="str">
        <f t="shared" si="3"/>
        <v>PRINCÍPIOS DE CARTOGRAFIA E AEROFOTOGEOGRAFIA</v>
      </c>
    </row>
    <row r="78">
      <c r="A78" s="21" t="s">
        <v>340</v>
      </c>
      <c r="B78" s="21" t="s">
        <v>341</v>
      </c>
      <c r="C78" s="21"/>
      <c r="D78" s="21" t="s">
        <v>97</v>
      </c>
      <c r="E78" s="21">
        <v>2.0</v>
      </c>
      <c r="F78" s="21">
        <v>30.0</v>
      </c>
      <c r="G78" s="21">
        <v>30.0</v>
      </c>
      <c r="H78" s="22" t="s">
        <v>767</v>
      </c>
      <c r="I78" s="24">
        <f t="shared" si="1"/>
        <v>0</v>
      </c>
      <c r="J78" s="24" t="str">
        <f t="shared" si="2"/>
        <v/>
      </c>
      <c r="K78" s="24" t="str">
        <f t="shared" si="3"/>
        <v>PROJETO INTEGRADOR 1: DIAGNÓSTICO DO SETOR DE SERVIÇO DA REGIÃO</v>
      </c>
    </row>
    <row r="79">
      <c r="A79" s="21" t="s">
        <v>502</v>
      </c>
      <c r="B79" s="21" t="s">
        <v>503</v>
      </c>
      <c r="C79" s="21"/>
      <c r="D79" s="21" t="s">
        <v>97</v>
      </c>
      <c r="E79" s="21">
        <v>4.0</v>
      </c>
      <c r="F79" s="21">
        <v>60.0</v>
      </c>
      <c r="G79" s="21">
        <v>60.0</v>
      </c>
      <c r="H79" s="22" t="s">
        <v>767</v>
      </c>
      <c r="I79" s="24">
        <f t="shared" si="1"/>
        <v>1</v>
      </c>
      <c r="J79" s="24" t="str">
        <f t="shared" si="2"/>
        <v>
 - DIL01179 - PROJETO INTEGRADOR 1: DIAGNÓSTICO DO SETOR DE SERVIÇO DA REGIÃO</v>
      </c>
      <c r="K79" s="24" t="str">
        <f t="shared" si="3"/>
        <v>PROJETO INTEGRADOR 2: CONCEPÇÃO E DESENVOLVIMENTO DE SERVIÇOS</v>
      </c>
    </row>
    <row r="80">
      <c r="A80" s="21" t="s">
        <v>347</v>
      </c>
      <c r="B80" s="21" t="s">
        <v>739</v>
      </c>
      <c r="C80" s="21"/>
      <c r="D80" s="21" t="s">
        <v>97</v>
      </c>
      <c r="E80" s="21">
        <v>3.0</v>
      </c>
      <c r="F80" s="21">
        <v>45.0</v>
      </c>
      <c r="G80" s="21">
        <v>0.0</v>
      </c>
      <c r="H80" s="22" t="s">
        <v>767</v>
      </c>
      <c r="I80" s="24">
        <f t="shared" si="1"/>
        <v>0</v>
      </c>
      <c r="J80" s="24" t="str">
        <f t="shared" si="2"/>
        <v/>
      </c>
      <c r="K80" s="24" t="str">
        <f t="shared" si="3"/>
        <v>QUALIDADE EM SERVIÇOS</v>
      </c>
    </row>
    <row r="81">
      <c r="A81" s="21" t="s">
        <v>92</v>
      </c>
      <c r="B81" s="21" t="s">
        <v>93</v>
      </c>
      <c r="C81" s="21"/>
      <c r="D81" s="21" t="s">
        <v>97</v>
      </c>
      <c r="E81" s="21">
        <v>2.0</v>
      </c>
      <c r="F81" s="21">
        <v>30.0</v>
      </c>
      <c r="G81" s="21">
        <v>0.0</v>
      </c>
      <c r="H81" s="22" t="s">
        <v>767</v>
      </c>
      <c r="I81" s="24">
        <f t="shared" si="1"/>
        <v>0</v>
      </c>
      <c r="J81" s="24" t="str">
        <f t="shared" si="2"/>
        <v/>
      </c>
      <c r="K81" s="24" t="str">
        <f t="shared" si="3"/>
        <v>SEMINÁRIOS INTERDISCIPLINARES</v>
      </c>
    </row>
    <row r="82">
      <c r="A82" s="21" t="s">
        <v>291</v>
      </c>
      <c r="B82" s="21" t="s">
        <v>292</v>
      </c>
      <c r="C82" s="21"/>
      <c r="D82" s="21" t="s">
        <v>97</v>
      </c>
      <c r="E82" s="21">
        <v>4.0</v>
      </c>
      <c r="F82" s="21">
        <v>60.0</v>
      </c>
      <c r="G82" s="21">
        <v>0.0</v>
      </c>
      <c r="H82" s="22" t="s">
        <v>767</v>
      </c>
      <c r="I82" s="24">
        <f t="shared" si="1"/>
        <v>1</v>
      </c>
      <c r="J82" s="24" t="str">
        <f t="shared" si="2"/>
        <v>
 - DIL01119 - PRINCÍPIOS DE CARTOGRAFIA E AEROFOTOGEOGRAFIA</v>
      </c>
      <c r="K82" s="24" t="str">
        <f t="shared" si="3"/>
        <v>SENSORIAMENTO REMOTO - A</v>
      </c>
    </row>
    <row r="83">
      <c r="J83" s="22" t="str">
        <f t="shared" si="2"/>
        <v/>
      </c>
      <c r="K83" s="22" t="str">
        <f t="shared" si="3"/>
        <v/>
      </c>
    </row>
    <row r="84">
      <c r="J84" s="22" t="str">
        <f t="shared" si="2"/>
        <v/>
      </c>
      <c r="K84" s="22" t="str">
        <f t="shared" si="3"/>
        <v/>
      </c>
    </row>
    <row r="85">
      <c r="J85" s="22" t="str">
        <f t="shared" si="2"/>
        <v/>
      </c>
      <c r="K85" s="22" t="str">
        <f t="shared" si="3"/>
        <v/>
      </c>
    </row>
    <row r="86">
      <c r="J86" s="22" t="str">
        <f t="shared" si="2"/>
        <v/>
      </c>
      <c r="K86" s="22" t="str">
        <f t="shared" si="3"/>
        <v/>
      </c>
    </row>
    <row r="87">
      <c r="J87" s="22" t="str">
        <f t="shared" si="2"/>
        <v/>
      </c>
      <c r="K87" s="22" t="str">
        <f t="shared" si="3"/>
        <v/>
      </c>
    </row>
    <row r="88">
      <c r="J88" s="22" t="str">
        <f t="shared" si="2"/>
        <v/>
      </c>
      <c r="K88" s="22" t="str">
        <f t="shared" si="3"/>
        <v/>
      </c>
    </row>
    <row r="89">
      <c r="J89" s="22" t="str">
        <f t="shared" si="2"/>
        <v/>
      </c>
      <c r="K89" s="22" t="str">
        <f t="shared" si="3"/>
        <v/>
      </c>
    </row>
    <row r="90">
      <c r="J90" s="22" t="str">
        <f t="shared" si="2"/>
        <v/>
      </c>
      <c r="K90" s="22" t="str">
        <f t="shared" si="3"/>
        <v/>
      </c>
    </row>
    <row r="91">
      <c r="J91" s="22" t="str">
        <f t="shared" si="2"/>
        <v/>
      </c>
      <c r="K91" s="22" t="str">
        <f t="shared" si="3"/>
        <v/>
      </c>
    </row>
    <row r="92">
      <c r="J92" s="22" t="str">
        <f t="shared" si="2"/>
        <v/>
      </c>
      <c r="K92" s="22" t="str">
        <f t="shared" si="3"/>
        <v/>
      </c>
    </row>
    <row r="93">
      <c r="J93" s="22" t="str">
        <f t="shared" si="2"/>
        <v/>
      </c>
      <c r="K93" s="22" t="str">
        <f t="shared" si="3"/>
        <v/>
      </c>
    </row>
    <row r="94">
      <c r="J94" s="22" t="str">
        <f t="shared" si="2"/>
        <v/>
      </c>
      <c r="K94" s="22" t="str">
        <f t="shared" si="3"/>
        <v/>
      </c>
    </row>
    <row r="95">
      <c r="J95" s="22" t="str">
        <f t="shared" si="2"/>
        <v/>
      </c>
      <c r="K95" s="22" t="str">
        <f t="shared" si="3"/>
        <v/>
      </c>
    </row>
    <row r="96">
      <c r="J96" s="22" t="str">
        <f t="shared" si="2"/>
        <v/>
      </c>
      <c r="K96" s="22" t="str">
        <f t="shared" si="3"/>
        <v/>
      </c>
    </row>
    <row r="97">
      <c r="J97" s="22" t="str">
        <f t="shared" si="2"/>
        <v/>
      </c>
      <c r="K97" s="22" t="str">
        <f t="shared" si="3"/>
        <v/>
      </c>
    </row>
    <row r="98">
      <c r="J98" s="22" t="str">
        <f t="shared" si="2"/>
        <v/>
      </c>
      <c r="K98" s="22" t="str">
        <f t="shared" si="3"/>
        <v/>
      </c>
    </row>
    <row r="99">
      <c r="J99" s="22" t="str">
        <f t="shared" si="2"/>
        <v/>
      </c>
      <c r="K99" s="22" t="str">
        <f t="shared" si="3"/>
        <v/>
      </c>
    </row>
    <row r="100">
      <c r="J100" s="22" t="str">
        <f t="shared" si="2"/>
        <v/>
      </c>
      <c r="K100" s="22" t="str">
        <f t="shared" si="3"/>
        <v/>
      </c>
    </row>
    <row r="101">
      <c r="J101" s="22" t="str">
        <f t="shared" si="2"/>
        <v/>
      </c>
      <c r="K101" s="22" t="str">
        <f t="shared" si="3"/>
        <v/>
      </c>
    </row>
    <row r="102">
      <c r="J102" s="22" t="str">
        <f t="shared" si="2"/>
        <v/>
      </c>
      <c r="K102" s="22" t="str">
        <f t="shared" si="3"/>
        <v/>
      </c>
    </row>
    <row r="103">
      <c r="J103" s="22" t="str">
        <f t="shared" si="2"/>
        <v/>
      </c>
      <c r="K103" s="22" t="str">
        <f t="shared" si="3"/>
        <v/>
      </c>
    </row>
    <row r="104">
      <c r="J104" s="22" t="str">
        <f t="shared" si="2"/>
        <v/>
      </c>
      <c r="K104" s="22" t="str">
        <f t="shared" si="3"/>
        <v/>
      </c>
    </row>
    <row r="105">
      <c r="J105" s="22" t="str">
        <f t="shared" si="2"/>
        <v/>
      </c>
      <c r="K105" s="22" t="str">
        <f t="shared" si="3"/>
        <v/>
      </c>
    </row>
    <row r="106">
      <c r="J106" s="22" t="str">
        <f t="shared" si="2"/>
        <v/>
      </c>
      <c r="K106" s="22" t="str">
        <f t="shared" si="3"/>
        <v/>
      </c>
    </row>
    <row r="107">
      <c r="J107" s="22" t="str">
        <f t="shared" si="2"/>
        <v/>
      </c>
      <c r="K107" s="22" t="str">
        <f t="shared" si="3"/>
        <v/>
      </c>
    </row>
    <row r="108">
      <c r="J108" s="22" t="str">
        <f t="shared" si="2"/>
        <v/>
      </c>
      <c r="K108" s="22" t="str">
        <f t="shared" si="3"/>
        <v/>
      </c>
    </row>
    <row r="109">
      <c r="J109" s="22" t="str">
        <f t="shared" si="2"/>
        <v/>
      </c>
      <c r="K109" s="22" t="str">
        <f t="shared" si="3"/>
        <v/>
      </c>
    </row>
    <row r="110">
      <c r="J110" s="22" t="str">
        <f t="shared" si="2"/>
        <v/>
      </c>
      <c r="K110" s="22" t="str">
        <f t="shared" si="3"/>
        <v/>
      </c>
    </row>
    <row r="111">
      <c r="J111" s="22" t="str">
        <f t="shared" si="2"/>
        <v/>
      </c>
      <c r="K111" s="22" t="str">
        <f t="shared" si="3"/>
        <v/>
      </c>
    </row>
    <row r="112">
      <c r="J112" s="22" t="str">
        <f t="shared" si="2"/>
        <v/>
      </c>
      <c r="K112" s="22" t="str">
        <f t="shared" si="3"/>
        <v/>
      </c>
    </row>
    <row r="113">
      <c r="J113" s="22" t="str">
        <f t="shared" si="2"/>
        <v/>
      </c>
      <c r="K113" s="22" t="str">
        <f t="shared" si="3"/>
        <v/>
      </c>
    </row>
    <row r="114">
      <c r="J114" s="22" t="str">
        <f t="shared" si="2"/>
        <v/>
      </c>
      <c r="K114" s="22" t="str">
        <f t="shared" si="3"/>
        <v/>
      </c>
    </row>
    <row r="115">
      <c r="J115" s="22" t="str">
        <f t="shared" si="2"/>
        <v/>
      </c>
      <c r="K115" s="22" t="str">
        <f t="shared" si="3"/>
        <v/>
      </c>
    </row>
    <row r="116">
      <c r="J116" s="22" t="str">
        <f t="shared" si="2"/>
        <v/>
      </c>
      <c r="K116" s="22" t="str">
        <f t="shared" si="3"/>
        <v/>
      </c>
    </row>
    <row r="117">
      <c r="J117" s="22" t="str">
        <f t="shared" si="2"/>
        <v/>
      </c>
      <c r="K117" s="22" t="str">
        <f t="shared" si="3"/>
        <v/>
      </c>
    </row>
    <row r="118">
      <c r="J118" s="22" t="str">
        <f t="shared" si="2"/>
        <v/>
      </c>
      <c r="K118" s="22" t="str">
        <f t="shared" si="3"/>
        <v/>
      </c>
    </row>
    <row r="119">
      <c r="J119" s="22" t="str">
        <f t="shared" si="2"/>
        <v/>
      </c>
      <c r="K119" s="22" t="str">
        <f t="shared" si="3"/>
        <v/>
      </c>
    </row>
    <row r="120">
      <c r="J120" s="22" t="str">
        <f t="shared" si="2"/>
        <v/>
      </c>
      <c r="K120" s="22" t="str">
        <f t="shared" si="3"/>
        <v/>
      </c>
    </row>
    <row r="121">
      <c r="J121" s="22" t="str">
        <f t="shared" si="2"/>
        <v/>
      </c>
      <c r="K121" s="22" t="str">
        <f t="shared" si="3"/>
        <v/>
      </c>
    </row>
    <row r="122">
      <c r="J122" s="22" t="str">
        <f t="shared" si="2"/>
        <v/>
      </c>
      <c r="K122" s="22" t="str">
        <f t="shared" si="3"/>
        <v/>
      </c>
    </row>
    <row r="123">
      <c r="J123" s="22" t="str">
        <f t="shared" si="2"/>
        <v/>
      </c>
      <c r="K123" s="22" t="str">
        <f t="shared" si="3"/>
        <v/>
      </c>
    </row>
    <row r="124">
      <c r="J124" s="22" t="str">
        <f t="shared" si="2"/>
        <v/>
      </c>
      <c r="K124" s="22" t="str">
        <f t="shared" si="3"/>
        <v/>
      </c>
    </row>
    <row r="125">
      <c r="J125" s="22" t="str">
        <f t="shared" si="2"/>
        <v/>
      </c>
      <c r="K125" s="22" t="str">
        <f t="shared" si="3"/>
        <v/>
      </c>
    </row>
    <row r="126">
      <c r="J126" s="22" t="str">
        <f t="shared" si="2"/>
        <v/>
      </c>
      <c r="K126" s="22" t="str">
        <f t="shared" si="3"/>
        <v/>
      </c>
    </row>
    <row r="127">
      <c r="J127" s="22" t="str">
        <f t="shared" si="2"/>
        <v/>
      </c>
      <c r="K127" s="22" t="str">
        <f t="shared" si="3"/>
        <v/>
      </c>
    </row>
    <row r="128">
      <c r="J128" s="22" t="str">
        <f t="shared" si="2"/>
        <v/>
      </c>
      <c r="K128" s="22" t="str">
        <f t="shared" si="3"/>
        <v/>
      </c>
    </row>
    <row r="129">
      <c r="J129" s="22" t="str">
        <f t="shared" si="2"/>
        <v/>
      </c>
      <c r="K129" s="22" t="str">
        <f t="shared" si="3"/>
        <v/>
      </c>
    </row>
    <row r="130">
      <c r="J130" s="22" t="str">
        <f t="shared" si="2"/>
        <v/>
      </c>
      <c r="K130" s="22" t="str">
        <f t="shared" si="3"/>
        <v/>
      </c>
    </row>
    <row r="131">
      <c r="J131" s="22" t="str">
        <f t="shared" si="2"/>
        <v/>
      </c>
      <c r="K131" s="22" t="str">
        <f t="shared" si="3"/>
        <v/>
      </c>
    </row>
    <row r="132">
      <c r="J132" s="22" t="str">
        <f t="shared" si="2"/>
        <v/>
      </c>
      <c r="K132" s="22" t="str">
        <f t="shared" si="3"/>
        <v/>
      </c>
    </row>
    <row r="133">
      <c r="J133" s="22" t="str">
        <f t="shared" si="2"/>
        <v/>
      </c>
      <c r="K133" s="22" t="str">
        <f t="shared" si="3"/>
        <v/>
      </c>
    </row>
    <row r="134">
      <c r="J134" s="22" t="str">
        <f t="shared" si="2"/>
        <v/>
      </c>
      <c r="K134" s="22" t="str">
        <f t="shared" si="3"/>
        <v/>
      </c>
    </row>
    <row r="135">
      <c r="J135" s="22" t="str">
        <f t="shared" si="2"/>
        <v/>
      </c>
      <c r="K135" s="22" t="str">
        <f t="shared" si="3"/>
        <v/>
      </c>
    </row>
    <row r="136">
      <c r="J136" s="22" t="str">
        <f t="shared" si="2"/>
        <v/>
      </c>
      <c r="K136" s="22" t="str">
        <f t="shared" si="3"/>
        <v/>
      </c>
    </row>
    <row r="137">
      <c r="J137" s="22" t="str">
        <f t="shared" si="2"/>
        <v/>
      </c>
      <c r="K137" s="22" t="str">
        <f t="shared" si="3"/>
        <v/>
      </c>
    </row>
    <row r="138">
      <c r="J138" s="22" t="str">
        <f t="shared" si="2"/>
        <v/>
      </c>
      <c r="K138" s="22" t="str">
        <f t="shared" si="3"/>
        <v/>
      </c>
    </row>
    <row r="139">
      <c r="J139" s="22" t="str">
        <f t="shared" si="2"/>
        <v/>
      </c>
      <c r="K139" s="22" t="str">
        <f t="shared" si="3"/>
        <v/>
      </c>
    </row>
    <row r="140">
      <c r="J140" s="22" t="str">
        <f t="shared" si="2"/>
        <v/>
      </c>
      <c r="K140" s="22" t="str">
        <f t="shared" si="3"/>
        <v/>
      </c>
    </row>
    <row r="141">
      <c r="J141" s="22" t="str">
        <f t="shared" si="2"/>
        <v/>
      </c>
      <c r="K141" s="22" t="str">
        <f t="shared" si="3"/>
        <v/>
      </c>
    </row>
    <row r="142">
      <c r="J142" s="22" t="str">
        <f t="shared" si="2"/>
        <v/>
      </c>
      <c r="K142" s="22" t="str">
        <f t="shared" si="3"/>
        <v/>
      </c>
    </row>
    <row r="143">
      <c r="J143" s="22" t="str">
        <f t="shared" si="2"/>
        <v/>
      </c>
      <c r="K143" s="22" t="str">
        <f t="shared" si="3"/>
        <v/>
      </c>
    </row>
    <row r="144">
      <c r="J144" s="22" t="str">
        <f t="shared" si="2"/>
        <v/>
      </c>
      <c r="K144" s="22" t="str">
        <f t="shared" si="3"/>
        <v/>
      </c>
    </row>
    <row r="145">
      <c r="J145" s="22" t="str">
        <f t="shared" si="2"/>
        <v/>
      </c>
      <c r="K145" s="22" t="str">
        <f t="shared" si="3"/>
        <v/>
      </c>
    </row>
    <row r="146">
      <c r="J146" s="22" t="str">
        <f t="shared" si="2"/>
        <v/>
      </c>
      <c r="K146" s="22" t="str">
        <f t="shared" si="3"/>
        <v/>
      </c>
    </row>
    <row r="147">
      <c r="J147" s="22" t="str">
        <f t="shared" si="2"/>
        <v/>
      </c>
      <c r="K147" s="22" t="str">
        <f t="shared" si="3"/>
        <v/>
      </c>
    </row>
    <row r="148">
      <c r="J148" s="22" t="str">
        <f t="shared" si="2"/>
        <v/>
      </c>
      <c r="K148" s="22" t="str">
        <f t="shared" si="3"/>
        <v/>
      </c>
    </row>
    <row r="149">
      <c r="J149" s="22" t="str">
        <f t="shared" si="2"/>
        <v/>
      </c>
      <c r="K149" s="22" t="str">
        <f t="shared" si="3"/>
        <v/>
      </c>
    </row>
    <row r="150">
      <c r="J150" s="22" t="str">
        <f t="shared" si="2"/>
        <v/>
      </c>
      <c r="K150" s="22" t="str">
        <f t="shared" si="3"/>
        <v/>
      </c>
    </row>
    <row r="151">
      <c r="J151" s="22" t="str">
        <f t="shared" si="2"/>
        <v/>
      </c>
      <c r="K151" s="22" t="str">
        <f t="shared" si="3"/>
        <v/>
      </c>
    </row>
    <row r="152">
      <c r="J152" s="22" t="str">
        <f t="shared" si="2"/>
        <v/>
      </c>
      <c r="K152" s="22" t="str">
        <f t="shared" si="3"/>
        <v/>
      </c>
    </row>
    <row r="153">
      <c r="J153" s="22" t="str">
        <f t="shared" si="2"/>
        <v/>
      </c>
      <c r="K153" s="22" t="str">
        <f t="shared" si="3"/>
        <v/>
      </c>
    </row>
  </sheetData>
  <autoFilter ref="$A$1:$Z$950"/>
  <drawing r:id="rId1"/>
</worksheet>
</file>